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tud\Downloads\"/>
    </mc:Choice>
  </mc:AlternateContent>
  <xr:revisionPtr revIDLastSave="0" documentId="13_ncr:1_{0AB91905-F37C-430D-B390-1C01339C51C0}" xr6:coauthVersionLast="36" xr6:coauthVersionMax="47" xr10:uidLastSave="{00000000-0000-0000-0000-000000000000}"/>
  <bookViews>
    <workbookView xWindow="0" yWindow="0" windowWidth="28800" windowHeight="12105" activeTab="1" xr2:uid="{3EEE8542-485F-744D-881C-C73844E4DCA3}"/>
  </bookViews>
  <sheets>
    <sheet name="Sheet3" sheetId="5" r:id="rId1"/>
    <sheet name="Sheet4" sheetId="6" r:id="rId2"/>
    <sheet name="Baza de date BAC" sheetId="2" r:id="rId3"/>
    <sheet name="Sheet2" sheetId="4" r:id="rId4"/>
    <sheet name="Sheet1" sheetId="3" r:id="rId5"/>
  </sheets>
  <definedNames>
    <definedName name="_xlnm._FilterDatabase" localSheetId="2" hidden="1">'Baza de date BAC'!$A$1:$U$429</definedName>
    <definedName name="_xlchart.v5.0" hidden="1">Sheet4!$A$1:$A$44</definedName>
    <definedName name="_xlchart.v5.1" hidden="1">Sheet4!$B$1:$B$44</definedName>
    <definedName name="_xlchart.v5.2" hidden="1">Sheet4!$A$1:$A$44</definedName>
    <definedName name="_xlchart.v5.3" hidden="1">Sheet4!$B$1:$B$44</definedName>
  </definedNames>
  <calcPr calcId="191029"/>
  <pivotCaches>
    <pivotCache cacheId="3"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4" l="1"/>
  <c r="F9" i="4"/>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2" i="4"/>
  <c r="B430" i="4" l="1"/>
</calcChain>
</file>

<file path=xl/sharedStrings.xml><?xml version="1.0" encoding="utf-8"?>
<sst xmlns="http://schemas.openxmlformats.org/spreadsheetml/2006/main" count="6148" uniqueCount="564">
  <si>
    <t>Nr. crt</t>
  </si>
  <si>
    <t>A. În ce an ați susținut Examenul de Bacalaureat/de Maturitate?</t>
  </si>
  <si>
    <t>Promoția</t>
  </si>
  <si>
    <t>B. Unde ați susținut examenul de Bacalaureat?</t>
  </si>
  <si>
    <t>Regiunea de dezvoltare</t>
  </si>
  <si>
    <t>Q1. Care este genul D-voastră?</t>
  </si>
  <si>
    <t>Q2. Profil liceu</t>
  </si>
  <si>
    <t xml:space="preserve">Q3. Liceul la care ați studiat a fost în:  </t>
  </si>
  <si>
    <t>Q4. La ce materie ați susținut proba a III-a?</t>
  </si>
  <si>
    <t>Q6. Cât timp ați dedicat pregătirii pentru Bacalaureat?2</t>
  </si>
  <si>
    <t>Q7. În ce măsură considerați că programa școlară v-a pregătit pentru Bacalaureat?</t>
  </si>
  <si>
    <t>Q8. În ce măsură considerați că ați beneficiat de sprijinul familiei în pregătirea pentru examenul de Bacalaureat?</t>
  </si>
  <si>
    <t>Q10. Ați recurs la meditații pentru Bacalaureat?</t>
  </si>
  <si>
    <t>Bunici și străbunici</t>
  </si>
  <si>
    <t>NEAMT</t>
  </si>
  <si>
    <t>Regiunea Nord-Est</t>
  </si>
  <si>
    <t>b) Masculin</t>
  </si>
  <si>
    <t>a) filiera teoretică (profilurile umanist şi real)</t>
  </si>
  <si>
    <t>a) mediul urban</t>
  </si>
  <si>
    <t>Psihologie</t>
  </si>
  <si>
    <t>e) M-am pregătit constant pe tot parcursul liceului</t>
  </si>
  <si>
    <t>d) Nu, m-am pregătit singur(ă)</t>
  </si>
  <si>
    <t>a) studii superioare, în același an în care am absolvit BAC-ul</t>
  </si>
  <si>
    <t>b) Arte şi ştiinţe umaniste</t>
  </si>
  <si>
    <t>A fost stresant dar am fost foarte motivat. Să dai examen oral la șapte materii e ceva foarte obositor. Într-o zi trei și a doua zi patru discipline cu șapte profesori plus un președinte la catedră...</t>
  </si>
  <si>
    <t>c) o etapă în care a influențat semnificativ viitoarea mea cariera educațională</t>
  </si>
  <si>
    <t>9,01-9,50</t>
  </si>
  <si>
    <t>HUNEDOARA</t>
  </si>
  <si>
    <t>Regiunea Vest</t>
  </si>
  <si>
    <t>h) Inginerie, producţie şi construcţii</t>
  </si>
  <si>
    <t>BACAU</t>
  </si>
  <si>
    <t>Nu a fost cazul</t>
  </si>
  <si>
    <t>a) sub 3 luni</t>
  </si>
  <si>
    <t>d) Științe Economice</t>
  </si>
  <si>
    <t>a) un pas/o etapa normal(ă) în viață</t>
  </si>
  <si>
    <t>VRANCEA</t>
  </si>
  <si>
    <t>Regiunea Sud-Est</t>
  </si>
  <si>
    <t>c) studii superioare, la 2-3 ani de la absolvire</t>
  </si>
  <si>
    <t>f) Ştiinţele naturii, matematică şi statistică</t>
  </si>
  <si>
    <t>a) un pas/o etapa normal(ă) în viață, b) un eveniment deosebit, o reușită, o sărbătoare, d) o etapa in care a influențat semnificativ viitoarea mea cariera educațională și profesională;, e) o etapa în care a influențat semnificativ dezvoltarea mea personală (în sens pozitiv)</t>
  </si>
  <si>
    <t>sub 6,50</t>
  </si>
  <si>
    <t>ALBA</t>
  </si>
  <si>
    <t>Regiunea Centru</t>
  </si>
  <si>
    <t>b) Da, la mai multe materii</t>
  </si>
  <si>
    <t>e) studii superioare, la peste 5 ani de la absolvirea BAC-lui</t>
  </si>
  <si>
    <t>a) Educație</t>
  </si>
  <si>
    <t>BRAILA</t>
  </si>
  <si>
    <t>c) filiera vocaţională (profilurile militar, teologic, sportiv, artistic şi pedagogic)</t>
  </si>
  <si>
    <t>b) mediul rural</t>
  </si>
  <si>
    <t>Biologie</t>
  </si>
  <si>
    <t>d) 12- 24 luni</t>
  </si>
  <si>
    <t>e) Administraţie şi drept</t>
  </si>
  <si>
    <t xml:space="preserve">Greu. </t>
  </si>
  <si>
    <t>e) o etapa în care a influențat semnificativ dezvoltarea mea personală (în sens pozitiv)</t>
  </si>
  <si>
    <t>9,51-10</t>
  </si>
  <si>
    <t>IALOMITA</t>
  </si>
  <si>
    <t>Regiunea Sud-Muntenia</t>
  </si>
  <si>
    <t>a) Feminin</t>
  </si>
  <si>
    <t xml:space="preserve">Lb .romana,lb.franceza,biologie, fizica ,istorie. </t>
  </si>
  <si>
    <t>b) studii superioare, la un an de la absolvire</t>
  </si>
  <si>
    <t xml:space="preserve">A fost decisiv  în etapa desavarsirii carierei mele profesionale. </t>
  </si>
  <si>
    <t>d) o etapa in care a influențat semnificativ viitoarea mea cariera educațională și profesională;, e) o etapa în care a influențat semnificativ dezvoltarea mea personală (în sens pozitiv)</t>
  </si>
  <si>
    <t>6,51-7,00</t>
  </si>
  <si>
    <t>la materiile importante</t>
  </si>
  <si>
    <t>g) Nu am mai urmat alte studii</t>
  </si>
  <si>
    <t>nu am urmat</t>
  </si>
  <si>
    <t>un pas important in viata</t>
  </si>
  <si>
    <t>a) un pas/o etapa normal(ă) în viață, e) o etapa în care a influențat semnificativ dezvoltarea mea personală (în sens pozitiv)</t>
  </si>
  <si>
    <t>7,01-7,50</t>
  </si>
  <si>
    <t>fizica,chimie, biologie, istorie</t>
  </si>
  <si>
    <t>foarte importanta pentru viitorul profesional</t>
  </si>
  <si>
    <t>Examenul a avut 2 probe scrise și 7 probe orale</t>
  </si>
  <si>
    <t>O experiență provocatoare, de autodepășire, de a demonstra că pot.</t>
  </si>
  <si>
    <t>d) o etapa in care a influențat semnificativ viitoarea mea cariera educațională și profesională;</t>
  </si>
  <si>
    <t>VALCEA</t>
  </si>
  <si>
    <t>Regiunea Sud-Vest Oltenia</t>
  </si>
  <si>
    <t>Chimie</t>
  </si>
  <si>
    <t>b) studii superioare, la un an de la absolvire, k) studii de formare continuă a adulților</t>
  </si>
  <si>
    <t>j) Sănătate şi asistenţă socială, Cursuri de statistică sanitara</t>
  </si>
  <si>
    <t>Un pas important în pregătirea pentru continuarea studiilor.</t>
  </si>
  <si>
    <t>7,51-8,00</t>
  </si>
  <si>
    <t>Fizică</t>
  </si>
  <si>
    <t>GORJ</t>
  </si>
  <si>
    <t>BUZAU</t>
  </si>
  <si>
    <t>Nu știu/Nu țin minte</t>
  </si>
  <si>
    <t>b) 3- 6 luni</t>
  </si>
  <si>
    <t>SALAJ</t>
  </si>
  <si>
    <t>Regiunea Nord-Vest</t>
  </si>
  <si>
    <t>Un examen normal</t>
  </si>
  <si>
    <t>MUNICIPIUL BUCURESTI</t>
  </si>
  <si>
    <t>Regiunea București-Ilfov</t>
  </si>
  <si>
    <t>Perioada intensă de pregătire care a fost din plin valorificată la examenul de admitere la facultate și ulterior acestuia. M-a format ca viitor intelectual.</t>
  </si>
  <si>
    <t>Sociologie</t>
  </si>
  <si>
    <t>c) 6- 12 luni</t>
  </si>
  <si>
    <t>a) Da, la una dintre materii</t>
  </si>
  <si>
    <t>SIBIU</t>
  </si>
  <si>
    <t>BAC-ul, prin notele per care le luai dovedea că ai muncit sau nu în timpul liceului, că ai acumulat cunoștințe care îți foloseau la examenul de admitere la facultate, chiar dacă notele nu-ti foloseau ca acum la intrarea în facultate.</t>
  </si>
  <si>
    <t>8,51-9,00</t>
  </si>
  <si>
    <t>SUCEAVA</t>
  </si>
  <si>
    <t>O ușă deschisă spre viață, un pas spre viitoarea profesie.</t>
  </si>
  <si>
    <t xml:space="preserve">Română matematică </t>
  </si>
  <si>
    <t xml:space="preserve">Cine are carte are parte </t>
  </si>
  <si>
    <t>TULCEA</t>
  </si>
  <si>
    <t>b) filiera tehnologică (profilurile tehnic, servicii, economic, resurse naturale şi protecţia mediului)</t>
  </si>
  <si>
    <t>Multă muncă, în paralel cu pregătirea pentru facultate</t>
  </si>
  <si>
    <t>a) un pas/o etapa normal(ă) în viață, d) o etapa in care a influențat semnificativ viitoarea mea cariera educațională și profesională;</t>
  </si>
  <si>
    <t>g) Tehnologia informaţiei şi a comunicaţiilor, h) Inginerie, producţie şi construcţii</t>
  </si>
  <si>
    <t>-----------</t>
  </si>
  <si>
    <t>Filosofie</t>
  </si>
  <si>
    <t>nu am mai urmat alte studii</t>
  </si>
  <si>
    <t xml:space="preserve">un examen dificil </t>
  </si>
  <si>
    <t>b) un eveniment deosebit, o reușită, o sărbătoare, d) o etapa in care a influențat semnificativ viitoarea mea cariera educațională și profesională;</t>
  </si>
  <si>
    <t>j) Sănătate şi asistenţă socială</t>
  </si>
  <si>
    <t xml:space="preserve">Atunci am realizat pozitia in viata, cum sa procedez cât si ce am de facut sa realizez ceea ce doresc! </t>
  </si>
  <si>
    <t>ARGES</t>
  </si>
  <si>
    <t>A fost o necesitate pentru parcursul formarii profesionale</t>
  </si>
  <si>
    <t>c) studii superioare, la 2-3 ani de la absolvire, f) studii postliceale / învățământ profesional terțiar</t>
  </si>
  <si>
    <t>i) Agricultură, silvicultură, piscicultură şi ştiinţe veterinare</t>
  </si>
  <si>
    <t>Mi- a placut</t>
  </si>
  <si>
    <t>OLT</t>
  </si>
  <si>
    <t>Limbi moderne: engleza-franceza</t>
  </si>
  <si>
    <t>Pregatire constanta, responsabila</t>
  </si>
  <si>
    <t>TIMIS</t>
  </si>
  <si>
    <t>Necesara si incurajatioare. O experienta utila.</t>
  </si>
  <si>
    <t>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t>
  </si>
  <si>
    <t>f) studii postliceale / învățământ profesional terțiar</t>
  </si>
  <si>
    <t>efort sustinut</t>
  </si>
  <si>
    <t xml:space="preserve">Pregătirea examenului a fost continuă pe tot parcursul liceului . În consecință efortul nu a fost prea mare. Emoții au fost, e normal. </t>
  </si>
  <si>
    <t>Fireasca. Cei care urmau scoli de meserii nu sustineau bacalaureatul. Daca cei care urmau un liceu nu-si luau bacalaureatul, nu se puteau inscrie nici macar la studii postliceale. A nu promova bacalaureatul echivala cu a fi pierdut patru ani. Pentru cei care nu luau bacalareatul in vara, exista si posibilitatea sustinerii in toamna. De regula situatia era valabila pentru seralisti (oameni care erau absolventi de scoli profesionale, lucrau si isi completau studiile cu cele liceale pentru a putea promova profesional). Din cate-mi amintesc, nu exista situatia de a amana cu un an sustinerea bacalaureatului. Daca nu luai "bacul" si erai baiat, erai incorporat penntru 3 ani (aveai bacalaureat si nu  intrai la facultate, faceai armata un an si patru luni). Daca erai fata, te maritau parintii ca sa ai o ocupatie.</t>
  </si>
  <si>
    <t xml:space="preserve">a) un pas/o etapa normal(ă) în viață, atentie la exprimare: o etapa In(?) care = o etapa care </t>
  </si>
  <si>
    <t>GALATI</t>
  </si>
  <si>
    <t>O necesitate pentru realizarea parcursului profesional.</t>
  </si>
  <si>
    <t>ILFOV</t>
  </si>
  <si>
    <t>IASI</t>
  </si>
  <si>
    <t>BISTRITA-NASAUD</t>
  </si>
  <si>
    <t xml:space="preserve">Un examen serios, aproape toti colegii erau interesati de el, o atmosfera de implicare si maturitate. </t>
  </si>
  <si>
    <t>Multă muncă în fiecare zi, în fiecare an de liceu, 6 - 8 ore pe zi.</t>
  </si>
  <si>
    <t>BRASOV</t>
  </si>
  <si>
    <t>A fost finalizarea normala a studiilor liceale</t>
  </si>
  <si>
    <t xml:space="preserve">Examenul ,,maturității,, ! În adevăratul sens. </t>
  </si>
  <si>
    <t>8,01-8,50</t>
  </si>
  <si>
    <t>CLUJ</t>
  </si>
  <si>
    <t>Matematica, sectia Informatica</t>
  </si>
  <si>
    <t>Pregatirea a avut un caracter continuu, iar examenul a fost bine organizat, fara surprize</t>
  </si>
  <si>
    <t>d) Științe Economice, e) Administraţie şi drept</t>
  </si>
  <si>
    <t>Seriozitate, bucuria recunoașterii nivelului intelectual, incredere în viitor</t>
  </si>
  <si>
    <t>a) un pas/o etapa normal(ă) în viață, b) un eveniment deosebit, o reușită, o sărbătoare</t>
  </si>
  <si>
    <t>CONSTANTA</t>
  </si>
  <si>
    <t>Am fost elev la cel mai bun liceu din Constanta,in clasa speciala de matematica,nu am avut nevoie de nicio meditatie deoarece am facut parte dintr-un colectiv excrptional ca performanta academica</t>
  </si>
  <si>
    <t xml:space="preserve">Continuitate </t>
  </si>
  <si>
    <t>Muncă, Muncă...</t>
  </si>
  <si>
    <t xml:space="preserve">Limba  Latină </t>
  </si>
  <si>
    <t>Corespunzatoare anului 1975</t>
  </si>
  <si>
    <t>b) un eveniment deosebit, o reușită, o sărbătoare</t>
  </si>
  <si>
    <t>O etapă din viața de elev pe care am tratat-o cu seriozitate,responsabilitate</t>
  </si>
  <si>
    <t xml:space="preserve">Muncă constantă și seriozitate. </t>
  </si>
  <si>
    <t>CARAS-SEVERIN</t>
  </si>
  <si>
    <t>Pasul firesc dupa absolvirea liceului</t>
  </si>
  <si>
    <t>Serizitate, perseverență, documentare, studiu asiduu, autoevaluare permanentă, etc.</t>
  </si>
  <si>
    <t>d) Licee industriale</t>
  </si>
  <si>
    <t>Domeniul militar</t>
  </si>
  <si>
    <t>A fost un real examen de maturitate.</t>
  </si>
  <si>
    <t>Economie</t>
  </si>
  <si>
    <t>istorie</t>
  </si>
  <si>
    <t>e) studii superioare, la peste 5 ani de la absolvirea BAC-lui, f) studii postliceale / învățământ profesional terțiar</t>
  </si>
  <si>
    <t>Bună și normală</t>
  </si>
  <si>
    <t>PRAHOVA</t>
  </si>
  <si>
    <t>Constientizare si responsabilizare</t>
  </si>
  <si>
    <t>VASLUI</t>
  </si>
  <si>
    <t>M-am pregatit permanent in decursul celor 4 ani de studiu,iar bacalaureatul a fost un examen normal la sfarsitul cursurilor liceale</t>
  </si>
  <si>
    <t>Geografie</t>
  </si>
  <si>
    <t>Decepționant</t>
  </si>
  <si>
    <t>tehnologia legume-fructe</t>
  </si>
  <si>
    <t>k) studii de formare continuă a adulților</t>
  </si>
  <si>
    <t>g) Tehnologia informaţiei şi a comunicaţiilor</t>
  </si>
  <si>
    <t>un pas normal</t>
  </si>
  <si>
    <t>IN LIMITELE NORMALITATII</t>
  </si>
  <si>
    <t>Experiența deosebită, câștig in formarea mea profesionala</t>
  </si>
  <si>
    <t>a) Educație, f) Ştiinţele naturii, matematică şi statistică</t>
  </si>
  <si>
    <t>UN PAS MARE SPRE VIITORUL CARIEREI</t>
  </si>
  <si>
    <t>O verificare normala a cunoștințelor acumulate în cei 12 ani de școală.</t>
  </si>
  <si>
    <t>Fizica</t>
  </si>
  <si>
    <t xml:space="preserve">Foarte implicată și cu multă plăcere, dorind sa fie un prim succes! Examenul a fost de mare corectitudine, cu sprijin din partea profesorilor, care ne susțineau pentru reușită! </t>
  </si>
  <si>
    <t xml:space="preserve">Munca
</t>
  </si>
  <si>
    <t xml:space="preserve">Emotie si satisfactie. </t>
  </si>
  <si>
    <t>Da</t>
  </si>
  <si>
    <t>Normala</t>
  </si>
  <si>
    <t>Foarte buna</t>
  </si>
  <si>
    <t>Pregatire sustinuta, continua, serioasa</t>
  </si>
  <si>
    <t>Foarte multe exercitii si probleme la matematica si fizica din culegeri, Gheba, si altele. Muuult invatat gramatica , poezii , literatura.</t>
  </si>
  <si>
    <t xml:space="preserve">Seriozitate si perseverenta. Profesori dedicati </t>
  </si>
  <si>
    <t>un rezultat bun obtinut dupa o pregatire serioasa</t>
  </si>
  <si>
    <t>a) Educație, d) Științe Economice, e) Administraţie şi drept</t>
  </si>
  <si>
    <t>Experiența legată de pregătirea și susținerea examenului de Bacalaureat a fost un proces intens și plin de provocări, marcat de o combinație de emoții, muncă susținută și strategie. Pregătirea a constat într-un efort constant de acumulare și consolidare a cunoștințelor dobândite de-a lungul anilor de liceu, cu accent pe materiile specifice profilului ales.
Organizarea timpului a jucat un rol esențial, fiind necesar să îmi stabilesc un program riguros de studiu, cu sesiuni dedicate fiecărei discipline. Repetarea și exersarea prin teste și simulări au fost fundamentale pentru a mă obișnui cu formatul examenului și pentru a identifica punctele slabe care necesitau atenție suplimentară.
Susținerea propriu-zisă a examenului a fost însoțită de emoții firești, dar gestionabile datorită pregătirii temeinice. Atmosfera din zilele examenului a fost concentrată și tensionată, dar și motivantă, deoarece reprezenta un punct culminant al eforturilor depuse.
Experiența examenului de Bacalaureat a fost o etapă fundamentală în procesul meu de maturizare academică și personală, reprezentând nu doar un test al cunoștințelor acumulate în anii de liceu, ci și o pregătire esențială pentru traseul educațional pe care mi l-am propus. Această etapă a fost primul contact serios cu un examen de anvergură, care m-a învățat cum să îmi organizez eficient timpul, să îmi stabilesc priorități clare și să gestionez presiunea – abilități pe care le-am perfecționat ulterior în timpul studiilor universitare, al cercetării doctorale și al activității didactice.
Parcursul de la examenul de Bacalaureat la susținerea doctoratului și devenirea profesor la universitate a fost marcat de o continuă aprofundare a cunoștințelor, o dezvoltare constantă a gândirii critice și o dedicare neîntreruptă față de domeniul meu de studiu. Totodată, experiența Bacalaureatului m-a învățat cum să transform emoțiile și stresul într-un motor al performanței, lucru esențial în susținerea tezei de doctorat și în activitatea didactică ulterioară. În acest context, Bacalaureatul a reprezentat nu doar un examen important, ci și un prim pas esențial în traseul meu profesional, oferindu-mi o bază solidă pentru cariera academică pe care mi-am dorit-o.
Privind înapoi, pot spune că experiența examenului de Bacalaureat a fost una formativă, nu doar prin cunoștințele acumulate, ci și prin dezvoltarea unor abilități esențiale precum autodisciplina, gestionarea stresului și capacitatea de organizare. A fost o etapă importantă în procesul meu de maturizare academică și personală.</t>
  </si>
  <si>
    <t>O perioadă care mi-a terzit interesul pentru viitorul meu profesional</t>
  </si>
  <si>
    <t>TELEORMAN</t>
  </si>
  <si>
    <t>firesc</t>
  </si>
  <si>
    <t>Limba Romana, matematica, chimie, tehnologia meseriei</t>
  </si>
  <si>
    <t>Management turism comert</t>
  </si>
  <si>
    <t xml:space="preserve">O experiență trăită cu intensitate emoțională destul de ridicata. Știam încă din ultimul an că trebuie să punem accent pe pregătire la materiile incluse in examen. Profesorii care predau la materiile  incluse in examen/BAC, ne-au susținut prin  diverse tematici pe care le-am lucrat pe tot parcul ultimului an dar și in vacanțe precum și cu lucrări ( gen test ) care nu erau punctate in catalog ,  ne-au încurajat  în mod special și au lucrat la "mentalul" nostru ( sa fim calmi, sa analizăm înainte de a scrie ceva ..etc ) Lucru pt care le-am mulțumit și pt care le vom rămâne veșnic recunoscători. Reușita noastră a fost și reușită lor, lucru cu care s-au mândrit ( Nr ff mare de absolvenți ) </t>
  </si>
  <si>
    <t>Cine invata ia Bac ul. Este examenul care incununeaza cei 12 ani scoala.</t>
  </si>
  <si>
    <t>Pedagogie</t>
  </si>
  <si>
    <t>Finalizare studii preuniversitare</t>
  </si>
  <si>
    <t>DOLJ</t>
  </si>
  <si>
    <t>Un examen al maturitatii</t>
  </si>
  <si>
    <t>Multe materii si programa mult prea incarcata</t>
  </si>
  <si>
    <t>BIHOR</t>
  </si>
  <si>
    <t>Buna</t>
  </si>
  <si>
    <t xml:space="preserve">Pedagogie </t>
  </si>
  <si>
    <t>c) Ştiinţe sociale, jurnalism şi informare, j) Sănătate şi asistenţă socială</t>
  </si>
  <si>
    <t xml:space="preserve">O etapă importantă în viața mea. </t>
  </si>
  <si>
    <t>Examen de maturitate</t>
  </si>
  <si>
    <t xml:space="preserve">Curs translator </t>
  </si>
  <si>
    <t xml:space="preserve">Studiu și seriozitate </t>
  </si>
  <si>
    <t xml:space="preserve">O etapă firească! </t>
  </si>
  <si>
    <t>ARAD</t>
  </si>
  <si>
    <t>Etapa care a influențat viitorul meu</t>
  </si>
  <si>
    <t>DAMBOVITA</t>
  </si>
  <si>
    <t xml:space="preserve">Componente eletronice si electrotehnice </t>
  </si>
  <si>
    <t xml:space="preserve">Necesara pentru viitorul meu. </t>
  </si>
  <si>
    <t>Seriozitate si responsabilitate</t>
  </si>
  <si>
    <t>Este Examenul maturitatii si este OBLIGATORIU sa fie obtinut de toti tinerii.
Nu se poate altfel!</t>
  </si>
  <si>
    <t>GIURGIU</t>
  </si>
  <si>
    <t>A fost o experienta stresanta, deoarece in acceasi perioada am avut si calitatea de salariata.</t>
  </si>
  <si>
    <t>c) Ştiinţe sociale, jurnalism şi informare</t>
  </si>
  <si>
    <t>O etapă normală în pregătirea pentru etapele următoare în cariera mea.</t>
  </si>
  <si>
    <t>Normal</t>
  </si>
  <si>
    <t>Muncă, emoții, bucurie!</t>
  </si>
  <si>
    <t>lucrare practică</t>
  </si>
  <si>
    <t>e) studii superioare, la peste 5 ani de la absolvirea BAC-lui, f) studii postliceale / învățământ profesional terțiar, k) studii de formare continuă a adulților</t>
  </si>
  <si>
    <t>alegerea unor tehnici potrivite pentru gestionarea emoțiilor cât și luarea unor măsuri remediale referitoare la ritmul de studiu</t>
  </si>
  <si>
    <t>Verificarea cunoștințelor si competentelor
dobândite în liceu</t>
  </si>
  <si>
    <t>Pregătire pentru viata și activitatea didactica</t>
  </si>
  <si>
    <t>Technologie  Alimentație publicǎ</t>
  </si>
  <si>
    <t>k) Arhitectură și urbanism</t>
  </si>
  <si>
    <t>Pregǎtirea pentru maturitate o faci pe parcursul anilor de studiu, classes I - XII învǎțând la fie are materie.</t>
  </si>
  <si>
    <t xml:space="preserve">Muncă și  seriozității </t>
  </si>
  <si>
    <t xml:space="preserve">Un mod de autoeducare </t>
  </si>
  <si>
    <t>Pozitivă și necesară in  dezvoltarea mea.</t>
  </si>
  <si>
    <t xml:space="preserve">Buna </t>
  </si>
  <si>
    <t xml:space="preserve">Efort susținut și seriozitate </t>
  </si>
  <si>
    <t>Proiect</t>
  </si>
  <si>
    <t>A fost al doilea important examen din viata mea, primul examen fiind admiterea le liceu.</t>
  </si>
  <si>
    <t>Munca, seriozitate, implicare și dorința de a urma studiile superioare in domeniul tehnic.</t>
  </si>
  <si>
    <t xml:space="preserve">Instrument principal </t>
  </si>
  <si>
    <t>A fost o experiență stresantă, având în vedere condițiile de atunci, dar totul e bine când se termină cu bine!</t>
  </si>
  <si>
    <t>MEHEDINTI</t>
  </si>
  <si>
    <t>Proba practica</t>
  </si>
  <si>
    <t>a) Educație, e) Administraţie şi drept</t>
  </si>
  <si>
    <t xml:space="preserve">Pregătirea pentru examen a fost temeinică. Conta media pentru repartiție. </t>
  </si>
  <si>
    <t>Normalitate</t>
  </si>
  <si>
    <t>a) un pas/o etapa normal(ă) în viață, d) o etapa in care a influențat semnificativ viitoarea mea cariera educațională și profesională;, e) o etapa în care a influențat semnificativ dezvoltarea mea personală (în sens pozitiv)</t>
  </si>
  <si>
    <t>Absolvenții de liceu cu diplomă de bacalaureat erau respectați, considerați pregătiți pentru viața, atat pe plan educational cat și profesional și personal. Din aceste motive elevii se simțeau ( în proporție foarte mare) stimulați să învețe, să se pregătească pentru etapa viitoare din viața. Profesorii erau foarte bine pregătiți, predau materiile cu profesionalism dar, mai ales cu pasiune astfel ca noi, elevii plecam din clasă cu lecțiile aproape învățate. Studiul individual și lucrul suplimentar din culegeri ne-au fost de un real sprijin și o reală motivație. Bacalaureatul a fost  (din punctul meu de vedere) ca o valorificare a cunoștințelor acumulate în perioada anilor de liceu, evaluarea performanțelor școlare ale elevilor.
Lipsind mijloacele de comunicare actuale, noi ne completam cunoștințele citind, studiind, cumpărând sau împrumutând cărți între colegi și din biblioteci.</t>
  </si>
  <si>
    <t>O experienta pozitiva. Mai putin dificil decat ma asteptam. Am regretat doar ca la proba a treia nu am obtinut nota maxima.</t>
  </si>
  <si>
    <t>Proiect tehnic</t>
  </si>
  <si>
    <t xml:space="preserve">La vârsta de atunci, 18 ani, totul părea simplu și nu m..am implicat asa cum ar fi trebuit în pregătirea pentru acest examen care te urmărește pe tot parcursul vieții </t>
  </si>
  <si>
    <t>Un pas, o etapă necesară, chiar dacă nu foarte dificilă, în pregătirea celui mai important examen: Admiterea la facultate!</t>
  </si>
  <si>
    <t xml:space="preserve">Multă muncă, mult consum emoțional, multă disciplină și bună organizare. În final, după absolvire, o mare satisfacție și bucurie. </t>
  </si>
  <si>
    <t>MARAMURES</t>
  </si>
  <si>
    <t>bijutier</t>
  </si>
  <si>
    <t>Placuta.</t>
  </si>
  <si>
    <t>O situație obișnuită!</t>
  </si>
  <si>
    <t>O pregătire normală, fără probleme !</t>
  </si>
  <si>
    <t>Proiect practic</t>
  </si>
  <si>
    <t>Mi-a făcut plăcere să mă pregătesc în mod special pentru examen</t>
  </si>
  <si>
    <t>b) un eveniment deosebit, o reușită, o sărbătoare, d) o etapa in care a influențat semnificativ viitoarea mea cariera educațională și profesională;, e) o etapa în care a influențat semnificativ dezvoltarea mea personală (în sens pozitiv)</t>
  </si>
  <si>
    <t>Mi-a oferit o bună cunoaștere a propriei persoane !</t>
  </si>
  <si>
    <t>Examenul de bacalaureat m-a făcut mai responsabilă, mai organizată și am învățat să-mi gestionez mai bine emoțiile.</t>
  </si>
  <si>
    <t>Electronica</t>
  </si>
  <si>
    <t>a) studii superioare, în același an în care am absolvit BAC-ul, e) studii superioare, la peste 5 ani de la absolvirea BAC-lui</t>
  </si>
  <si>
    <t>h) Inginerie, producţie şi construcţii, Informatica</t>
  </si>
  <si>
    <t>Pregătirea pentru admitere la facultate mi a facilitat promovarea bacului</t>
  </si>
  <si>
    <t>Română economie</t>
  </si>
  <si>
    <t xml:space="preserve">A fost un examen pt care m-am pregătit cu seriozitate și l-am promovat </t>
  </si>
  <si>
    <t>Lectie demonstrtiva</t>
  </si>
  <si>
    <t>A fost o experienta frumoasa. Deși încă nu implinisem 18 ani, am fost foarte incantata și implicata în acest examen de maturitate. Am învățat mult. Stăteam în cămin. Părinții nu s-au implicat, dar au avut încredere în mine. Nota de la bacaulerat era foarte importanta deoarece în funcție de ea îți luai postul. Cu munca multa am reușit.</t>
  </si>
  <si>
    <t>a) un pas/o etapa normal(ă) în viață, b) un eveniment deosebit, o reușită, o sărbătoare, e) o etapa în care a influențat semnificativ dezvoltarea mea personală (în sens pozitiv)</t>
  </si>
  <si>
    <t>Practica pedagogica</t>
  </si>
  <si>
    <t xml:space="preserve">Multa pregătire și satisfacție pe măsură muncii </t>
  </si>
  <si>
    <t xml:space="preserve">Seriozitate,  perseverență </t>
  </si>
  <si>
    <t>Hotărâre, responsabilitate</t>
  </si>
  <si>
    <t xml:space="preserve">Un efort susținut dar a meritat. </t>
  </si>
  <si>
    <t>c) o etapă în care a influențat semnificativ viitoarea mea cariera educațională, d) o etapa in care a influențat semnificativ viitoarea mea cariera educațională și profesională;</t>
  </si>
  <si>
    <t>-</t>
  </si>
  <si>
    <t>Sustinerea BAC-ului s-a desfasurat intr-o atmosfera relaxata, fireasca, datorita pregatirii anteriore foarte bune. BAC-ul doar a confirmat nivelul pregatirii mele.</t>
  </si>
  <si>
    <t>d) studii superioare, la 3-5 ani de la absolvire</t>
  </si>
  <si>
    <t>a) Educație, b) Arte şi ştiinţe umaniste</t>
  </si>
  <si>
    <t xml:space="preserve">Un pas normal pentru studii superioare </t>
  </si>
  <si>
    <t xml:space="preserve">Constructiv, acumulare cunoștințe în viața profesională </t>
  </si>
  <si>
    <t>Cu responsabilitate</t>
  </si>
  <si>
    <t>Perseverenta</t>
  </si>
  <si>
    <t>c) o etapă în care a influențat semnificativ viitoarea mea cariera educațională, d) o etapa in care a influențat semnificativ viitoarea mea cariera educațională și profesională;, e) o etapa în care a influențat semnificativ dezvoltarea mea personală (în sens pozitiv)</t>
  </si>
  <si>
    <t>Stresanta</t>
  </si>
  <si>
    <t>Responsabilitate</t>
  </si>
  <si>
    <t>a) un pas/o etapa normal(ă) în viață, b) un eveniment deosebit, o reușită, o sărbătoare, d) o etapa in care a influențat semnificativ viitoarea mea cariera educațională și profesională;</t>
  </si>
  <si>
    <t>Matematica</t>
  </si>
  <si>
    <t>b) un eveniment deosebit, o reușită, o sărbătoare, c) o etapă în care a influențat semnificativ viitoarea mea cariera educațională</t>
  </si>
  <si>
    <t>HARGHITA</t>
  </si>
  <si>
    <t>Normală</t>
  </si>
  <si>
    <t>a) Educație, h) Inginerie, producţie şi construcţii</t>
  </si>
  <si>
    <t>Nu este cazul</t>
  </si>
  <si>
    <t xml:space="preserve">Normală </t>
  </si>
  <si>
    <t>a) un pas/o etapa normal(ă) în viață, c) o etapă în care a influențat semnificativ viitoarea mea cariera educațională</t>
  </si>
  <si>
    <t xml:space="preserve">Foarte bună </t>
  </si>
  <si>
    <t>Importanta</t>
  </si>
  <si>
    <t>Informatică</t>
  </si>
  <si>
    <t>BOTOSANI</t>
  </si>
  <si>
    <t>Logică, argumentare și comunicare</t>
  </si>
  <si>
    <t>CALARASI</t>
  </si>
  <si>
    <t>a) un pas/o etapa normal(ă) în viață, c) o etapă în care a influențat semnificativ viitoarea mea cariera educațională, d) o etapa in care a influențat semnificativ viitoarea mea cariera educațională și profesională;, e) o etapa în care a influențat semnificativ dezvoltarea mea personală (în sens pozitiv)</t>
  </si>
  <si>
    <t>MURES</t>
  </si>
  <si>
    <t>c) o etapă în care a influențat semnificativ viitoarea mea cariera educațională, e) o etapa în care a influențat semnificativ dezvoltarea mea personală (în sens pozitiv)</t>
  </si>
  <si>
    <t>c) Da, la toate materiile</t>
  </si>
  <si>
    <t>Lucrare practică</t>
  </si>
  <si>
    <t>Grea</t>
  </si>
  <si>
    <t>stresanta</t>
  </si>
  <si>
    <t>ok</t>
  </si>
  <si>
    <t>normala</t>
  </si>
  <si>
    <t>f) Ştiinţele naturii, matematică şi statistică, g) Tehnologia informaţiei şi a comunicaţiilor</t>
  </si>
  <si>
    <t>Istorie</t>
  </si>
  <si>
    <t xml:space="preserve">a) Educație, </t>
  </si>
  <si>
    <t xml:space="preserve">Normalitate </t>
  </si>
  <si>
    <t xml:space="preserve">Istorie </t>
  </si>
  <si>
    <t xml:space="preserve">Normal </t>
  </si>
  <si>
    <t>b) un eveniment deosebit, o reușită, o sărbătoare, e) o etapa în care a influențat semnificativ dezvoltarea mea personală (în sens pozitiv)</t>
  </si>
  <si>
    <t>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t>
  </si>
  <si>
    <t>COVASNA</t>
  </si>
  <si>
    <t>SATU MARE</t>
  </si>
  <si>
    <t>Obositoare</t>
  </si>
  <si>
    <t>Dificila</t>
  </si>
  <si>
    <t>a) un pas/o etapa normal(ă) în viață, c) o etapă în care a influențat semnificativ viitoarea mea cariera educațională, d) o etapa in care a influențat semnificativ viitoarea mea cariera educațională și profesională;</t>
  </si>
  <si>
    <t>d) Științe Economice, f) Ştiinţele naturii, matematică şi statistică</t>
  </si>
  <si>
    <t>a) studii superioare, în același an în care am absolvit BAC-ul, b) studii superioare, la un an de la absolvire</t>
  </si>
  <si>
    <t>Dificilă</t>
  </si>
  <si>
    <t>Seriozitate</t>
  </si>
  <si>
    <t>Turism</t>
  </si>
  <si>
    <t>a) un pas/o etapa normal(ă) în viață, b) un eveniment deosebit, o reușită, o sărbătoare, c) o etapă în care a influențat semnificativ viitoarea mea cariera educațională, d) o etapa in care a influențat semnificativ viitoarea mea cariera educațională și profesională;</t>
  </si>
  <si>
    <t>Maturitate</t>
  </si>
  <si>
    <t xml:space="preserve">Normala </t>
  </si>
  <si>
    <t>a) Educație, d) Științe Economice</t>
  </si>
  <si>
    <t>a) un pas/o etapa normal(ă) în viață, b) un eveniment deosebit, o reușită, o sărbătoare, c) o etapă în care a influențat semnificativ viitoarea mea cariera educațională</t>
  </si>
  <si>
    <t>STRESANTA</t>
  </si>
  <si>
    <t xml:space="preserve">Seriozitate </t>
  </si>
  <si>
    <t>Se putea mai bine.</t>
  </si>
  <si>
    <t>Emoții</t>
  </si>
  <si>
    <t>buna</t>
  </si>
  <si>
    <t>Un examen de maturitate</t>
  </si>
  <si>
    <t>Sport</t>
  </si>
  <si>
    <t>Lejer</t>
  </si>
  <si>
    <t>Importantă</t>
  </si>
  <si>
    <t>d) Științe Economice, g) Tehnologia informaţiei şi a comunicaţiilor</t>
  </si>
  <si>
    <t>Părinți</t>
  </si>
  <si>
    <t>Stresant</t>
  </si>
  <si>
    <t>Interesanta</t>
  </si>
  <si>
    <t>Stresantă</t>
  </si>
  <si>
    <t xml:space="preserve">Stresantă </t>
  </si>
  <si>
    <t>stresant</t>
  </si>
  <si>
    <t xml:space="preserve">Multă muncă </t>
  </si>
  <si>
    <t xml:space="preserve">Stres </t>
  </si>
  <si>
    <t>Nimic</t>
  </si>
  <si>
    <t>Greu</t>
  </si>
  <si>
    <t>Ok</t>
  </si>
  <si>
    <t>Frumoasa</t>
  </si>
  <si>
    <t xml:space="preserve">Maturitate </t>
  </si>
  <si>
    <t>a) studii superioare, în același an în care am absolvit BAC-ul, f) studii postliceale / învățământ profesional terțiar</t>
  </si>
  <si>
    <t>Franceza</t>
  </si>
  <si>
    <t>Litere</t>
  </si>
  <si>
    <t>Foarte stresanta</t>
  </si>
  <si>
    <t>Astronomie</t>
  </si>
  <si>
    <t>O provocare</t>
  </si>
  <si>
    <t>Foarte bună</t>
  </si>
  <si>
    <t>Interesant</t>
  </si>
  <si>
    <t>Stres</t>
  </si>
  <si>
    <t>Ordine publică și Siguranța national</t>
  </si>
  <si>
    <t>Maturizare</t>
  </si>
  <si>
    <t xml:space="preserve">Examenul maturității </t>
  </si>
  <si>
    <t xml:space="preserve">Engleză </t>
  </si>
  <si>
    <t xml:space="preserve">Stresant </t>
  </si>
  <si>
    <t xml:space="preserve">Dificil </t>
  </si>
  <si>
    <t>Efort sustinut</t>
  </si>
  <si>
    <t>normal</t>
  </si>
  <si>
    <t xml:space="preserve">Matematica, lb. Română, pedagogie </t>
  </si>
  <si>
    <t xml:space="preserve">Psihologie Sociologie </t>
  </si>
  <si>
    <t>Seriozitate și implicare</t>
  </si>
  <si>
    <t xml:space="preserve">Frumoasă </t>
  </si>
  <si>
    <t>e) Administraţie şi drept, i) Agricultură, silvicultură, piscicultură şi ştiinţe veterinare</t>
  </si>
  <si>
    <t xml:space="preserve">a) Educație, Matematică </t>
  </si>
  <si>
    <t xml:space="preserve">Bună </t>
  </si>
  <si>
    <t>Provocatoare</t>
  </si>
  <si>
    <t xml:space="preserve">Educație fizica </t>
  </si>
  <si>
    <t xml:space="preserve">Grea </t>
  </si>
  <si>
    <t>b) Arte şi ştiinţe umaniste, c) Ştiinţe sociale, jurnalism şi informare</t>
  </si>
  <si>
    <t xml:space="preserve">Interesantă </t>
  </si>
  <si>
    <t xml:space="preserve">Educație fizică și sport </t>
  </si>
  <si>
    <t>Arte</t>
  </si>
  <si>
    <t xml:space="preserve">Necesara </t>
  </si>
  <si>
    <t>Limba latină</t>
  </si>
  <si>
    <t>Nu</t>
  </si>
  <si>
    <t>Interesantă</t>
  </si>
  <si>
    <t xml:space="preserve">O experienta unica </t>
  </si>
  <si>
    <t>e) Administraţie şi drept, j) Sănătate şi asistenţă socială</t>
  </si>
  <si>
    <t xml:space="preserve">Nu știu </t>
  </si>
  <si>
    <t>Mult studiu individual</t>
  </si>
  <si>
    <t xml:space="preserve">h) Inginerie, producţie şi construcţii, </t>
  </si>
  <si>
    <t>obositoare</t>
  </si>
  <si>
    <t>interesanta</t>
  </si>
  <si>
    <t xml:space="preserve">foarte utila </t>
  </si>
  <si>
    <t xml:space="preserve">O experiență de neuitat </t>
  </si>
  <si>
    <t xml:space="preserve">Interesanta </t>
  </si>
  <si>
    <t xml:space="preserve">Obositoare </t>
  </si>
  <si>
    <t xml:space="preserve">i) Agricultură, silvicultură, piscicultură şi ştiinţe veterinare, </t>
  </si>
  <si>
    <t>Nu stiu</t>
  </si>
  <si>
    <t>Fireasca</t>
  </si>
  <si>
    <t>Pedagogie și psihologie</t>
  </si>
  <si>
    <t>Tehnician protecția mediului</t>
  </si>
  <si>
    <t>Examenul maturității</t>
  </si>
  <si>
    <t>Constructii</t>
  </si>
  <si>
    <t xml:space="preserve">Maturitate! </t>
  </si>
  <si>
    <t>O experiență deosebită</t>
  </si>
  <si>
    <t>Experienta de viata</t>
  </si>
  <si>
    <t>d) Științe Economice, g) Tehnologia informaţiei şi a comunicaţiilor, h) Inginerie, producţie şi construcţii</t>
  </si>
  <si>
    <t>greu</t>
  </si>
  <si>
    <t>O experienta necesara</t>
  </si>
  <si>
    <t>c) studii superioare, la 2-3 ani de la absolvire, d) studii superioare, la 3-5 ani de la absolvire, f) studii postliceale / învățământ profesional terțiar</t>
  </si>
  <si>
    <t xml:space="preserve">Emoții </t>
  </si>
  <si>
    <t xml:space="preserve">Stresanta </t>
  </si>
  <si>
    <t>a) Educație, b) Arte şi ştiinţe umaniste, c) Ştiinţe sociale, jurnalism şi informare</t>
  </si>
  <si>
    <t>Medicina</t>
  </si>
  <si>
    <t xml:space="preserve">Frumoasa </t>
  </si>
  <si>
    <t>Informatica</t>
  </si>
  <si>
    <t>Viitorul</t>
  </si>
  <si>
    <t>Drept</t>
  </si>
  <si>
    <t>Tineri/Studenți</t>
  </si>
  <si>
    <t>Obositor</t>
  </si>
  <si>
    <t xml:space="preserve">a) Educație, Psihologie </t>
  </si>
  <si>
    <t xml:space="preserve">Obositor </t>
  </si>
  <si>
    <t xml:space="preserve">Electronică aplicată </t>
  </si>
  <si>
    <t xml:space="preserve">Nimic special </t>
  </si>
  <si>
    <t xml:space="preserve">Computer Science </t>
  </si>
  <si>
    <t>Constanta</t>
  </si>
  <si>
    <t>d) Științe Economice, f) Ştiinţele naturii, matematică şi statistică, g) Tehnologia informaţiei şi a comunicaţiilor</t>
  </si>
  <si>
    <t>o provocare</t>
  </si>
  <si>
    <t xml:space="preserve">Informatica </t>
  </si>
  <si>
    <t>lejer</t>
  </si>
  <si>
    <t>Acceptabila</t>
  </si>
  <si>
    <t>O EXPERIENTA NECESARA</t>
  </si>
  <si>
    <t>a) studii superioare, în același an în care am absolvit BAC-ul, Am înghețat primul an de studii voi reveni în 2026</t>
  </si>
  <si>
    <t>d) Științe Economice, Securitate si aparare nationala</t>
  </si>
  <si>
    <t>interesant</t>
  </si>
  <si>
    <t>Management militar</t>
  </si>
  <si>
    <t xml:space="preserve">Militar </t>
  </si>
  <si>
    <t>Utila</t>
  </si>
  <si>
    <t>O experiență de neuitat</t>
  </si>
  <si>
    <t>lejera</t>
  </si>
  <si>
    <t xml:space="preserve">stresantă </t>
  </si>
  <si>
    <t xml:space="preserve">Științe politice </t>
  </si>
  <si>
    <t>d) o etapa in care a influențat semnificativ viitoarea mea cariera educațională și profesională;, e) o etapa în care a influențat semnificativ dezvoltarea mea personală (în sens pozitiv), Să mă pot angaja la un job mai bun.</t>
  </si>
  <si>
    <t>a) Educație, d) Științe Economice, g) Tehnologia informaţiei şi a comunicaţiilor</t>
  </si>
  <si>
    <t>FEFS și pedagogie</t>
  </si>
  <si>
    <t>fara emotii</t>
  </si>
  <si>
    <t xml:space="preserve">Firească </t>
  </si>
  <si>
    <t>Normalitate, fără nu se putea accede la o facultate; indiferent de opțiuni ( studii superioare sau nu ), nu se punea problema nepromovarii sau neprezentarii la ex de bacalaureat !!!</t>
  </si>
  <si>
    <t xml:space="preserve">Perseverenta </t>
  </si>
  <si>
    <t xml:space="preserve">stresanta </t>
  </si>
  <si>
    <t>pregatire militara</t>
  </si>
  <si>
    <t>al doilea examen din viata mea,pregatit pe parcursul ultimului an de liceu,sustinere fara emotii,nota 10 la final.</t>
  </si>
  <si>
    <t>b) Arte şi ştiinţe umaniste, j) Sănătate şi asistenţă socială</t>
  </si>
  <si>
    <t>Având în vedere faptul că am terminat un profil umanist, nu pot spune că am fost prea stresata</t>
  </si>
  <si>
    <t>Multă concentrare, seriozitate, emoții doar pentru note, nu pentru promovare, aceasta fiind absolut sigură, dat fiind faptul că am învățat constant pe tot parcursul cursurilor liceale.</t>
  </si>
  <si>
    <t xml:space="preserve">Finanțe bănci </t>
  </si>
  <si>
    <t>DETERMINARE</t>
  </si>
  <si>
    <t xml:space="preserve">bună </t>
  </si>
  <si>
    <t>MATURITATE</t>
  </si>
  <si>
    <t>Probă practică</t>
  </si>
  <si>
    <t>Am dat o foarte mare importanță absolvirii examenului de bacalaureat întrucât era o condiție obligatorie în continuarea studiilor superioare.</t>
  </si>
  <si>
    <t>Bacalaureatului fost un examen pe care l.am dat pentru ca sa pot urma ulterior o facultate</t>
  </si>
  <si>
    <t xml:space="preserve">Lucrare de diplomă din materia de specialitate </t>
  </si>
  <si>
    <t>A fost  un examen  de dificultate medie ,cu itemi de tip reproducere din materia studiată  în anii de liceu ( Limba română și Anatomia și fiziologia omului )</t>
  </si>
  <si>
    <t>Munca si efort, responsabilitate etc.</t>
  </si>
  <si>
    <t xml:space="preserve">O experiență pentru deschiderea unui nou drum în viata </t>
  </si>
  <si>
    <t>geografie</t>
  </si>
  <si>
    <t xml:space="preserve">Matematică, Limba și literatura română </t>
  </si>
  <si>
    <t>Am realizat că prin muncă pot obține ce mi-am propus</t>
  </si>
  <si>
    <t>Examen normal, pregătit cu responsabilitate pentru că urma și examenul de admitere la facultate.</t>
  </si>
  <si>
    <t xml:space="preserve">Un câștig mare </t>
  </si>
  <si>
    <t>Mate, romana, fizica</t>
  </si>
  <si>
    <t>Nu imi amintesc, dar nu cred ca a fost un stres, admiterea la fscultate era piatra de incercare.</t>
  </si>
  <si>
    <t>grea</t>
  </si>
  <si>
    <t xml:space="preserve">Turism și alimentație profil servicii </t>
  </si>
  <si>
    <t xml:space="preserve">Asistenta medicala </t>
  </si>
  <si>
    <t>Teológie Reformata Didactica in lb maghiara</t>
  </si>
  <si>
    <t xml:space="preserve">Practica </t>
  </si>
  <si>
    <t>Arte plastice</t>
  </si>
  <si>
    <t>M-am pregatit, am sustinut, la momentul respectiv nu se punea accent deosebit pe BAC, mediile nu contau pt periosada urmatoare de studii.</t>
  </si>
  <si>
    <t>Lucrari practice: Stenodactilografie</t>
  </si>
  <si>
    <t>O experienta pe care mi- am dorit- o, deoarece era conditia sine qua non pentru continuarea studiilor. Imi placea ideea ca e un examen greu, deoarece imi place sa ma provoc, sa fiu performanta.
Dar, nu mi- au placut deloc cateva aspecte:
1. Ca sarcinile de lucru/ intrebarile se adresau exclusiv memoriei. Ceea ce conta era memorarea a cat mai multe informatii, iar pe interpretare, opinie petsonala, intelegerea conexiunilor intre fapte si evenimente nu doar ca nu se punea accent, ci, chiar ersu " retezate din scurt"!
2. Atitudinea rigida a profesorilor evaluatori la examenele orale.
3. Absenta unei pregatiri in liceu dedicata strict examenului de bacalaureat ( emotionale si de specialitate pentru examen).</t>
  </si>
  <si>
    <t>nu inteleg intrebarea</t>
  </si>
  <si>
    <t>Republica Moldova</t>
  </si>
  <si>
    <t>O experienta normala, nu foarte dificila.</t>
  </si>
  <si>
    <t>Experienta pregatirii si sustinerii examenului de Bacalaureat a fost una intensa, dar formativa, care m-a ajutat sa imi dezvolt disciplina, perseverenta si increderea in propriile forte</t>
  </si>
  <si>
    <t>Consider ca proba la limba si literatura romana este complet inutila, invechita, lipsita de utilitate in majoritatea domeniilor pe care absolventii le vor profesa. De asemenea, modul de corectare este aberant, nota pe care am obtinut-o nu reflecta ceea ce am scris si timpul pe care l-am acordat acestei discipline. Profesorii care corecteaza sunt subiectivi, multi foarte nepregatiti si chiar ignoranti. Si la celelalte probe pot aparea discrepante, dar nu la fel de mari ca la romana. Astfel ca a fost o experienta dezamsgitoare, care reflecta cat de scazut este nivelul educational din romania. Multi elevi se bazeaza pe examenul maturitatii pentru a intra la facultate, iar corectarea acestuia trebuie tratata cu seriozitate.</t>
  </si>
  <si>
    <t>a) Educație, d) Științe Economice, f) Ştiinţele naturii, matematică şi statistică, g) Tehnologia informaţiei şi a comunicaţiilor</t>
  </si>
  <si>
    <t>Consider că, pregătirea pentru susținerea examenului nu s-a resimțit sufocantă întrucât aceasta s-a desfășurat pe parcursul întregului liceu, ci nu doar în clasa a XII-a, așa cum mulți elevi o fac.</t>
  </si>
  <si>
    <t>f) Ştiinţele naturii, matematică şi statistică, g) Tehnologia informaţiei şi a comunicaţiilor, j) Sănătate şi asistenţă socială</t>
  </si>
  <si>
    <t>Usor, rapid</t>
  </si>
  <si>
    <t>trebuia sa se fi programat mai demult, a fost prea mult timp alocat clasei a 12 a , cand deja la liceu oricum nu mai facem nimic. o experienta stresanta oricum</t>
  </si>
  <si>
    <t>Bacalaureatul nu a fost un motiv de stres pentru mine. Cu pregătire serioasă din timp, este imposibil sa nu te descurci foarte bine la acest examen.</t>
  </si>
  <si>
    <t>O chestie plăcută și un pas ce trebuia făcut </t>
  </si>
  <si>
    <t>Nu foarte stresanta cu exceptia ultimelor saptamani</t>
  </si>
  <si>
    <t>Obositoare. Exerciții repetitive care nu reflectă neapărat cunoștințele elevului, ci învățarea mecanică.</t>
  </si>
  <si>
    <t>In ansamblu, m-am pregatit foarte mult pentru un examen pe care eu, in momentul de fata, il consider ca fiind usor, dar din procesul de pregatire am invatat practic "cum sa invat" intr-un mod eficient, iar acest lucru ma va ajuta pe parcursul vietii.</t>
  </si>
  <si>
    <t>Am avut o experiență neplăcută la materia , Limba si Literatura Romana" deoarce se corecteaza din cap,nu se verifică baremul și fiecare profesor dă punctaj după parerea personala.Eu am facut contestație si mi s a scazut un punct</t>
  </si>
  <si>
    <t>Sunt de părere că experiența mea a fost una bună, dar consider că m-am stresat mult mai mult decât ar fi fost necesar, având în vedere faptul că, deși cu toții îl vizualizăm ca un examen greu la început, subiectele au ajuns să fie destul de ușoare, în special cele din 2025.</t>
  </si>
  <si>
    <t>A fost ok, un pic stresant, dar e firesc întrucât îmi doream o notă mare.</t>
  </si>
  <si>
    <t>Meditatiile si studiul individual au avut o contributie mare in procesul de pregatire.</t>
  </si>
  <si>
    <t>Pentru mine, experienta legata de pregatirea si sustinerea examenului de Bacalaureat a implicat si un volum destul de mare legat de studiu individual,cat si meditatii.</t>
  </si>
  <si>
    <t>o perioadă stresantă dar frumoasă din viața mea</t>
  </si>
  <si>
    <t>Perioada de pregătire și susținere a examenului de bacalaureat a fost extenuantă și foarte stresantă pentru mine.</t>
  </si>
  <si>
    <t>am avut mult de muncit, dar consider ca m-am pregatit suficient de bine si mi-am facut treaba</t>
  </si>
  <si>
    <t>Foarte pregătită</t>
  </si>
  <si>
    <t>foarte usor</t>
  </si>
  <si>
    <t>M-am pregătit atât cat am simțit ca am nevoie fără să lucrez enorm de mult până la epuizare,susținerea examenului a fost stresantă dar am fost foarte fericită dupa</t>
  </si>
  <si>
    <t>Dezvoltarea capacitatii de a retine multe aspecte si de a realiza in interiorul mintii conexiuni pentru a rezolva o problema chiar inainte de a incepe rezolvarea propriu-zisa pe foaie.</t>
  </si>
  <si>
    <t>Obisnuita ,normala </t>
  </si>
  <si>
    <t>Pregatirea pentru Bacalaureat a fost una intensa, plina de emotii. Am avut intre 4 si 5 meditatii pe saptamana. Ceea ce simt ca mi-a ingreunat experienta este faptul ca, concomitent, am invatat si pentru examenul de admitere. </t>
  </si>
  <si>
    <t>Eu m-am pregătit destul de mult pentru acest examen și am trecut printr-o perioadă stresantă până am susținut probele. Bacalaureatul are o importanță destul de mare în ceea ce privește continuarea studiilor și formarea unei cariere, de aceea presiunea a fost mare, însă examenul în sine nu este chiar atât de dificil pentru un elev disciplinat, care știe ce are de pregătit și cum să își organizeze timpul.</t>
  </si>
  <si>
    <t>Emotiile intense pentru mine au inceput odata cu intrarea in anul 2025. Faptul ca am avut competentele digitale in alta perioada a fost o decizie buna a Ministerului, deoarece am simtit ca am scapat de o etapa si m-am putut pregati linistita pentru ce era mai important.</t>
  </si>
  <si>
    <t>Bacalaureatul e foarte ușor dacă te pregătești sistematic în liceu</t>
  </si>
  <si>
    <t>Nu m-a pregatit pentru viata de adult, decat la niste materii cu care nu o sa ma mai intalnesc cu ele niciodata</t>
  </si>
  <si>
    <t>Relaxanta, am putut sa ma concentrez mai mult la materiil cu adevarat importante</t>
  </si>
  <si>
    <t>A fost o exerperinta pe de o parte stresanta,dar care m-a invatat sa ma organizez mai bine si sa imi stapanesc emotiile in situatii tresante</t>
  </si>
  <si>
    <t>O perioadă stresantă ,dar absolut necesară</t>
  </si>
  <si>
    <t>Q15. Pentru D-voastră, absolvirea Bacalaureatului a reprezentat.... (pot fi selectate mai multe variante)</t>
  </si>
  <si>
    <t>Q16. Ați absolvit Bacalaureatul cu nota?</t>
  </si>
  <si>
    <t>Q5. Cum ați evalua dificultatea Bacalaureatului în ansamblu? Pe o scală de la 1 la 10:</t>
  </si>
  <si>
    <t>Q9. În ce măsură considerați că ați primit sprijin din partea profesorilor pentru pregătirea Bacalaureatului? Pe o scală de la 1 la 10:</t>
  </si>
  <si>
    <t>Q11. Cât de stresantă a fost perioada  Bacalaureatului? Pe o scală de la 1 la 10:</t>
  </si>
  <si>
    <r>
      <t>Q12. Ulterior promovării Bacalaureatului ați urmat:? (</t>
    </r>
    <r>
      <rPr>
        <b/>
        <i/>
        <sz val="12"/>
        <color theme="0"/>
        <rFont val="Times New Roman"/>
        <family val="1"/>
      </rPr>
      <t>variante multiple)</t>
    </r>
  </si>
  <si>
    <r>
      <t xml:space="preserve">Q13. Care este domeniul studiilor urmate? </t>
    </r>
    <r>
      <rPr>
        <b/>
        <i/>
        <sz val="12"/>
        <color theme="0"/>
        <rFont val="Times New Roman"/>
        <family val="1"/>
      </rPr>
      <t>(variante multiple)</t>
    </r>
  </si>
  <si>
    <t>Q14 Cât de mult a influențat promovarea examenului de Bacalaureat, atât parcursul dumneavoastră personal, cât și cel profesional?</t>
  </si>
  <si>
    <t>Q17. Cât de mulțumit ați fost de nota obținută la Bacalaureat? Pe o scală de la 1 la 10:</t>
  </si>
  <si>
    <t>Q18. Cum ați descrie, în linii mari experiența D-voastră legată de pregătirea și susținerea examenului de Bacalaureat/Maturitate?  (răspuns deschis)</t>
  </si>
  <si>
    <t>Varsta(ani)</t>
  </si>
  <si>
    <t>Mean</t>
  </si>
  <si>
    <t>Standard Error</t>
  </si>
  <si>
    <t>Median</t>
  </si>
  <si>
    <t>Mode</t>
  </si>
  <si>
    <t>Standard Deviation</t>
  </si>
  <si>
    <t>Sample Variance</t>
  </si>
  <si>
    <t>Kurtosis</t>
  </si>
  <si>
    <t>Skewness</t>
  </si>
  <si>
    <t>Range</t>
  </si>
  <si>
    <t>Minimum</t>
  </si>
  <si>
    <t>Maximum</t>
  </si>
  <si>
    <t>Sum</t>
  </si>
  <si>
    <t>Count</t>
  </si>
  <si>
    <t>Confidence Level(95,0%)</t>
  </si>
  <si>
    <t>Medie</t>
  </si>
  <si>
    <t>Coeficient de variante</t>
  </si>
  <si>
    <t>%</t>
  </si>
  <si>
    <t>Row Labels</t>
  </si>
  <si>
    <t>(blank)</t>
  </si>
  <si>
    <t>Grand Total</t>
  </si>
  <si>
    <t>Average of Q5. Cum ați evalua dificultatea Bacalaureatului în ansamblu? Pe o scală de la 1 la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</si>
</sst>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2"/>
      <color theme="1"/>
      <name val="Aptos Narrow"/>
      <family val="2"/>
      <scheme val="minor"/>
    </font>
    <font>
      <sz val="12"/>
      <color theme="3"/>
      <name val="Times New Roman"/>
      <family val="1"/>
    </font>
    <font>
      <sz val="10"/>
      <color rgb="FF000000"/>
      <name val="Aptos Narrow"/>
      <family val="2"/>
      <scheme val="minor"/>
    </font>
    <font>
      <b/>
      <sz val="12"/>
      <color theme="1"/>
      <name val="Times New Roman"/>
      <family val="1"/>
    </font>
    <font>
      <sz val="12"/>
      <color theme="1"/>
      <name val="Times New Roman"/>
      <family val="1"/>
    </font>
    <font>
      <b/>
      <sz val="12"/>
      <color theme="0"/>
      <name val="Times New Roman"/>
      <family val="1"/>
    </font>
    <font>
      <b/>
      <i/>
      <sz val="12"/>
      <color theme="0"/>
      <name val="Times New Roman"/>
      <family val="1"/>
    </font>
    <font>
      <sz val="12"/>
      <color rgb="FF434343"/>
      <name val="Times New Roman"/>
      <family val="1"/>
    </font>
    <font>
      <i/>
      <sz val="12"/>
      <color theme="1"/>
      <name val="Aptos Narrow"/>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FF"/>
        <bgColor rgb="FFFFFFFF"/>
      </patternFill>
    </fill>
    <fill>
      <patternFill patternType="solid">
        <fgColor rgb="FFF8F9FA"/>
        <bgColor rgb="FFF8F9FA"/>
      </patternFill>
    </fill>
    <fill>
      <patternFill patternType="solid">
        <fgColor theme="5" tint="0.79998168889431442"/>
        <bgColor indexed="64"/>
      </patternFill>
    </fill>
    <fill>
      <patternFill patternType="solid">
        <fgColor theme="7" tint="-0.249977111117893"/>
        <bgColor indexed="64"/>
      </patternFill>
    </fill>
  </fills>
  <borders count="6">
    <border>
      <left/>
      <right/>
      <top/>
      <bottom/>
      <diagonal/>
    </border>
    <border>
      <left style="thin">
        <color indexed="64"/>
      </left>
      <right style="thin">
        <color indexed="64"/>
      </right>
      <top style="thin">
        <color indexed="64"/>
      </top>
      <bottom/>
      <diagonal/>
    </border>
    <border>
      <left style="thin">
        <color rgb="FF5B3F86"/>
      </left>
      <right style="thin">
        <color rgb="FF5B3F86"/>
      </right>
      <top style="thin">
        <color indexed="64"/>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2" fillId="0" borderId="0"/>
  </cellStyleXfs>
  <cellXfs count="31">
    <xf numFmtId="0" fontId="0" fillId="0" borderId="0" xfId="0"/>
    <xf numFmtId="0" fontId="5" fillId="8" borderId="2" xfId="1" applyFont="1" applyFill="1" applyBorder="1" applyAlignment="1">
      <alignment horizontal="left" vertical="center" wrapText="1"/>
    </xf>
    <xf numFmtId="0" fontId="5" fillId="8" borderId="2" xfId="1" applyFont="1" applyFill="1" applyBorder="1" applyAlignment="1">
      <alignment horizontal="center" vertical="center" wrapText="1"/>
    </xf>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horizontal="center"/>
    </xf>
    <xf numFmtId="0" fontId="5" fillId="8" borderId="1" xfId="0" applyFont="1" applyFill="1" applyBorder="1" applyAlignment="1">
      <alignment horizontal="left" vertical="top" wrapText="1"/>
    </xf>
    <xf numFmtId="1" fontId="1" fillId="4" borderId="3" xfId="0" applyNumberFormat="1" applyFont="1" applyFill="1" applyBorder="1" applyAlignment="1">
      <alignment horizontal="center" vertical="top"/>
    </xf>
    <xf numFmtId="0" fontId="4" fillId="5" borderId="3" xfId="1" applyFont="1" applyFill="1" applyBorder="1" applyAlignment="1">
      <alignment horizontal="center" vertical="center"/>
    </xf>
    <xf numFmtId="0" fontId="4" fillId="3" borderId="3" xfId="1" applyFont="1" applyFill="1" applyBorder="1" applyAlignment="1">
      <alignment horizontal="left" vertical="center"/>
    </xf>
    <xf numFmtId="0" fontId="4" fillId="5" borderId="3" xfId="1" applyFont="1" applyFill="1" applyBorder="1" applyAlignment="1">
      <alignment horizontal="left" vertical="center"/>
    </xf>
    <xf numFmtId="0" fontId="4" fillId="5" borderId="3" xfId="1" applyFont="1" applyFill="1" applyBorder="1" applyAlignment="1">
      <alignment horizontal="left" vertical="center" wrapText="1"/>
    </xf>
    <xf numFmtId="0" fontId="4" fillId="6" borderId="3" xfId="1" applyFont="1" applyFill="1" applyBorder="1" applyAlignment="1">
      <alignment horizontal="center" vertical="center"/>
    </xf>
    <xf numFmtId="0" fontId="4" fillId="6" borderId="3" xfId="1" applyFont="1" applyFill="1" applyBorder="1" applyAlignment="1">
      <alignment horizontal="left" vertical="center"/>
    </xf>
    <xf numFmtId="0" fontId="4" fillId="6" borderId="3" xfId="1" applyFont="1" applyFill="1" applyBorder="1" applyAlignment="1">
      <alignment horizontal="left" vertical="center" wrapText="1"/>
    </xf>
    <xf numFmtId="0" fontId="1" fillId="6" borderId="3" xfId="1" applyFont="1" applyFill="1" applyBorder="1" applyAlignment="1">
      <alignment horizontal="center" vertical="top"/>
    </xf>
    <xf numFmtId="0" fontId="1" fillId="6" borderId="3" xfId="1" applyFont="1" applyFill="1" applyBorder="1" applyAlignment="1">
      <alignment horizontal="left" vertical="top"/>
    </xf>
    <xf numFmtId="0" fontId="1" fillId="5" borderId="3" xfId="1" applyFont="1" applyFill="1" applyBorder="1" applyAlignment="1">
      <alignment horizontal="center" vertical="top"/>
    </xf>
    <xf numFmtId="0" fontId="1" fillId="5" borderId="3" xfId="1" applyFont="1" applyFill="1" applyBorder="1" applyAlignment="1">
      <alignment horizontal="left" vertical="top"/>
    </xf>
    <xf numFmtId="0" fontId="7" fillId="0" borderId="3" xfId="0" applyFont="1" applyBorder="1" applyAlignment="1">
      <alignment horizontal="center"/>
    </xf>
    <xf numFmtId="0" fontId="4" fillId="2" borderId="3" xfId="1" applyFont="1" applyFill="1" applyBorder="1" applyAlignment="1">
      <alignment horizontal="left" vertical="center"/>
    </xf>
    <xf numFmtId="0" fontId="7" fillId="0" borderId="3" xfId="0" applyFont="1" applyBorder="1" applyAlignment="1">
      <alignment horizontal="left"/>
    </xf>
    <xf numFmtId="0" fontId="4" fillId="0" borderId="3" xfId="0" applyFont="1" applyBorder="1" applyAlignment="1">
      <alignment horizontal="left"/>
    </xf>
    <xf numFmtId="0" fontId="4" fillId="7" borderId="3" xfId="1" applyFont="1" applyFill="1" applyBorder="1" applyAlignment="1">
      <alignment horizontal="left" vertical="center"/>
    </xf>
    <xf numFmtId="0" fontId="0" fillId="0" borderId="0" xfId="0" applyFill="1" applyBorder="1" applyAlignment="1"/>
    <xf numFmtId="0" fontId="0" fillId="0" borderId="4" xfId="0" applyFill="1" applyBorder="1" applyAlignment="1"/>
    <xf numFmtId="0" fontId="8" fillId="0" borderId="5"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2">
    <cellStyle name="Normal" xfId="0" builtinId="0"/>
    <cellStyle name="Normal 2" xfId="1" xr:uid="{AE08655C-20D6-DF45-831A-C4870628F896}"/>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Răspunsuri la formular 1-style" pivot="0" count="3" xr9:uid="{7DCFE804-FAC5-9246-93F4-1A7334293E4B}">
      <tableStyleElement type="headerRow" dxfId="2"/>
      <tableStyleElement type="firstRowStripe" dxfId="1"/>
      <tableStyleElement type="secondRowStripe" dxfId="0"/>
    </tableStyle>
  </tableStyles>
  <colors>
    <mruColors>
      <color rgb="FFD533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Ierarhia</a:t>
            </a:r>
            <a:r>
              <a:rPr lang="en-US" baseline="0"/>
              <a:t> pe judete a gradului de dificultate la bacalaureat</a:t>
            </a:r>
            <a:endParaRPr lang="ro-R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lotArea>
      <c:layout/>
      <c:barChart>
        <c:barDir val="bar"/>
        <c:grouping val="clustered"/>
        <c:varyColors val="1"/>
        <c:ser>
          <c:idx val="0"/>
          <c:order val="0"/>
          <c:invertIfNegative val="0"/>
          <c:dPt>
            <c:idx val="0"/>
            <c:invertIfNegative val="0"/>
            <c:bubble3D val="0"/>
            <c:spPr>
              <a:solidFill>
                <a:schemeClr val="accent6"/>
              </a:solidFill>
              <a:ln>
                <a:noFill/>
              </a:ln>
              <a:effectLst/>
            </c:spPr>
          </c:dPt>
          <c:dPt>
            <c:idx val="1"/>
            <c:invertIfNegative val="0"/>
            <c:bubble3D val="0"/>
            <c:spPr>
              <a:solidFill>
                <a:schemeClr val="accent5"/>
              </a:solidFill>
              <a:ln>
                <a:noFill/>
              </a:ln>
              <a:effectLst/>
            </c:spPr>
          </c:dPt>
          <c:dPt>
            <c:idx val="2"/>
            <c:invertIfNegative val="0"/>
            <c:bubble3D val="0"/>
            <c:spPr>
              <a:solidFill>
                <a:schemeClr val="accent4"/>
              </a:solidFill>
              <a:ln>
                <a:noFill/>
              </a:ln>
              <a:effectLst/>
            </c:spPr>
          </c:dPt>
          <c:dPt>
            <c:idx val="3"/>
            <c:invertIfNegative val="0"/>
            <c:bubble3D val="0"/>
            <c:spPr>
              <a:solidFill>
                <a:schemeClr val="accent6">
                  <a:lumMod val="60000"/>
                </a:schemeClr>
              </a:solidFill>
              <a:ln>
                <a:noFill/>
              </a:ln>
              <a:effectLst/>
            </c:spPr>
          </c:dPt>
          <c:dPt>
            <c:idx val="4"/>
            <c:invertIfNegative val="0"/>
            <c:bubble3D val="0"/>
            <c:spPr>
              <a:solidFill>
                <a:schemeClr val="accent5">
                  <a:lumMod val="60000"/>
                </a:schemeClr>
              </a:solidFill>
              <a:ln>
                <a:noFill/>
              </a:ln>
              <a:effectLst/>
            </c:spPr>
          </c:dPt>
          <c:dPt>
            <c:idx val="5"/>
            <c:invertIfNegative val="0"/>
            <c:bubble3D val="0"/>
            <c:spPr>
              <a:solidFill>
                <a:schemeClr val="accent4">
                  <a:lumMod val="60000"/>
                </a:schemeClr>
              </a:solidFill>
              <a:ln>
                <a:noFill/>
              </a:ln>
              <a:effectLst/>
            </c:spPr>
          </c:dPt>
          <c:dPt>
            <c:idx val="6"/>
            <c:invertIfNegative val="0"/>
            <c:bubble3D val="0"/>
            <c:spPr>
              <a:solidFill>
                <a:schemeClr val="accent6">
                  <a:lumMod val="80000"/>
                  <a:lumOff val="20000"/>
                </a:schemeClr>
              </a:solidFill>
              <a:ln>
                <a:noFill/>
              </a:ln>
              <a:effectLst/>
            </c:spPr>
          </c:dPt>
          <c:dPt>
            <c:idx val="7"/>
            <c:invertIfNegative val="0"/>
            <c:bubble3D val="0"/>
            <c:spPr>
              <a:solidFill>
                <a:schemeClr val="accent5">
                  <a:lumMod val="80000"/>
                  <a:lumOff val="20000"/>
                </a:schemeClr>
              </a:solidFill>
              <a:ln>
                <a:noFill/>
              </a:ln>
              <a:effectLst/>
            </c:spPr>
          </c:dPt>
          <c:dPt>
            <c:idx val="8"/>
            <c:invertIfNegative val="0"/>
            <c:bubble3D val="0"/>
            <c:spPr>
              <a:solidFill>
                <a:schemeClr val="accent4">
                  <a:lumMod val="80000"/>
                  <a:lumOff val="20000"/>
                </a:schemeClr>
              </a:solidFill>
              <a:ln>
                <a:noFill/>
              </a:ln>
              <a:effectLst/>
            </c:spPr>
          </c:dPt>
          <c:dPt>
            <c:idx val="9"/>
            <c:invertIfNegative val="0"/>
            <c:bubble3D val="0"/>
            <c:spPr>
              <a:solidFill>
                <a:schemeClr val="accent6">
                  <a:lumMod val="80000"/>
                </a:schemeClr>
              </a:solidFill>
              <a:ln>
                <a:noFill/>
              </a:ln>
              <a:effectLst/>
            </c:spPr>
          </c:dPt>
          <c:dPt>
            <c:idx val="10"/>
            <c:invertIfNegative val="0"/>
            <c:bubble3D val="0"/>
            <c:spPr>
              <a:solidFill>
                <a:schemeClr val="accent5">
                  <a:lumMod val="80000"/>
                </a:schemeClr>
              </a:solidFill>
              <a:ln>
                <a:noFill/>
              </a:ln>
              <a:effectLst/>
            </c:spPr>
          </c:dPt>
          <c:dPt>
            <c:idx val="11"/>
            <c:invertIfNegative val="0"/>
            <c:bubble3D val="0"/>
            <c:spPr>
              <a:solidFill>
                <a:schemeClr val="accent4">
                  <a:lumMod val="80000"/>
                </a:schemeClr>
              </a:solidFill>
              <a:ln>
                <a:noFill/>
              </a:ln>
              <a:effectLst/>
            </c:spPr>
          </c:dPt>
          <c:dPt>
            <c:idx val="12"/>
            <c:invertIfNegative val="0"/>
            <c:bubble3D val="0"/>
            <c:spPr>
              <a:solidFill>
                <a:schemeClr val="accent6">
                  <a:lumMod val="60000"/>
                  <a:lumOff val="40000"/>
                </a:schemeClr>
              </a:solidFill>
              <a:ln>
                <a:noFill/>
              </a:ln>
              <a:effectLst/>
            </c:spPr>
          </c:dPt>
          <c:dPt>
            <c:idx val="13"/>
            <c:invertIfNegative val="0"/>
            <c:bubble3D val="0"/>
            <c:spPr>
              <a:solidFill>
                <a:schemeClr val="accent5">
                  <a:lumMod val="60000"/>
                  <a:lumOff val="40000"/>
                </a:schemeClr>
              </a:solidFill>
              <a:ln>
                <a:noFill/>
              </a:ln>
              <a:effectLst/>
            </c:spPr>
          </c:dPt>
          <c:dPt>
            <c:idx val="14"/>
            <c:invertIfNegative val="0"/>
            <c:bubble3D val="0"/>
            <c:spPr>
              <a:solidFill>
                <a:schemeClr val="accent4">
                  <a:lumMod val="60000"/>
                  <a:lumOff val="40000"/>
                </a:schemeClr>
              </a:solidFill>
              <a:ln>
                <a:noFill/>
              </a:ln>
              <a:effectLst/>
            </c:spPr>
          </c:dPt>
          <c:dPt>
            <c:idx val="15"/>
            <c:invertIfNegative val="0"/>
            <c:bubble3D val="0"/>
            <c:spPr>
              <a:solidFill>
                <a:schemeClr val="accent6">
                  <a:lumMod val="50000"/>
                </a:schemeClr>
              </a:solidFill>
              <a:ln>
                <a:noFill/>
              </a:ln>
              <a:effectLst/>
            </c:spPr>
          </c:dPt>
          <c:dPt>
            <c:idx val="16"/>
            <c:invertIfNegative val="0"/>
            <c:bubble3D val="0"/>
            <c:spPr>
              <a:solidFill>
                <a:schemeClr val="accent5">
                  <a:lumMod val="50000"/>
                </a:schemeClr>
              </a:solidFill>
              <a:ln>
                <a:noFill/>
              </a:ln>
              <a:effectLst/>
            </c:spPr>
            <c:extLst>
              <c:ext xmlns:c16="http://schemas.microsoft.com/office/drawing/2014/chart" uri="{C3380CC4-5D6E-409C-BE32-E72D297353CC}">
                <c16:uniqueId val="{00000001-4A6F-4D64-AEA3-E41F66EDB35C}"/>
              </c:ext>
            </c:extLst>
          </c:dPt>
          <c:dPt>
            <c:idx val="17"/>
            <c:invertIfNegative val="0"/>
            <c:bubble3D val="0"/>
            <c:spPr>
              <a:solidFill>
                <a:schemeClr val="accent4">
                  <a:lumMod val="50000"/>
                </a:schemeClr>
              </a:solidFill>
              <a:ln>
                <a:noFill/>
              </a:ln>
              <a:effectLst/>
            </c:spPr>
          </c:dPt>
          <c:dPt>
            <c:idx val="18"/>
            <c:invertIfNegative val="0"/>
            <c:bubble3D val="0"/>
            <c:spPr>
              <a:solidFill>
                <a:schemeClr val="accent6">
                  <a:lumMod val="70000"/>
                  <a:lumOff val="30000"/>
                </a:schemeClr>
              </a:solidFill>
              <a:ln>
                <a:noFill/>
              </a:ln>
              <a:effectLst/>
            </c:spPr>
          </c:dPt>
          <c:dPt>
            <c:idx val="19"/>
            <c:invertIfNegative val="0"/>
            <c:bubble3D val="0"/>
            <c:spPr>
              <a:solidFill>
                <a:schemeClr val="accent5">
                  <a:lumMod val="70000"/>
                  <a:lumOff val="30000"/>
                </a:schemeClr>
              </a:solidFill>
              <a:ln>
                <a:noFill/>
              </a:ln>
              <a:effectLst/>
            </c:spPr>
          </c:dPt>
          <c:dPt>
            <c:idx val="20"/>
            <c:invertIfNegative val="0"/>
            <c:bubble3D val="0"/>
            <c:spPr>
              <a:solidFill>
                <a:schemeClr val="accent4">
                  <a:lumMod val="70000"/>
                  <a:lumOff val="30000"/>
                </a:schemeClr>
              </a:solidFill>
              <a:ln>
                <a:noFill/>
              </a:ln>
              <a:effectLst/>
            </c:spPr>
          </c:dPt>
          <c:dPt>
            <c:idx val="21"/>
            <c:invertIfNegative val="0"/>
            <c:bubble3D val="0"/>
            <c:spPr>
              <a:solidFill>
                <a:schemeClr val="accent6">
                  <a:lumMod val="70000"/>
                </a:schemeClr>
              </a:solidFill>
              <a:ln>
                <a:noFill/>
              </a:ln>
              <a:effectLst/>
            </c:spPr>
          </c:dPt>
          <c:dPt>
            <c:idx val="22"/>
            <c:invertIfNegative val="0"/>
            <c:bubble3D val="0"/>
            <c:spPr>
              <a:solidFill>
                <a:schemeClr val="accent5">
                  <a:lumMod val="70000"/>
                </a:schemeClr>
              </a:solidFill>
              <a:ln>
                <a:noFill/>
              </a:ln>
              <a:effectLst/>
            </c:spPr>
          </c:dPt>
          <c:dPt>
            <c:idx val="23"/>
            <c:invertIfNegative val="0"/>
            <c:bubble3D val="0"/>
            <c:spPr>
              <a:solidFill>
                <a:schemeClr val="accent4">
                  <a:lumMod val="70000"/>
                </a:schemeClr>
              </a:solidFill>
              <a:ln>
                <a:noFill/>
              </a:ln>
              <a:effectLst/>
            </c:spPr>
          </c:dPt>
          <c:dPt>
            <c:idx val="24"/>
            <c:invertIfNegative val="0"/>
            <c:bubble3D val="0"/>
            <c:spPr>
              <a:solidFill>
                <a:schemeClr val="accent6">
                  <a:lumMod val="50000"/>
                  <a:lumOff val="50000"/>
                </a:schemeClr>
              </a:solidFill>
              <a:ln>
                <a:noFill/>
              </a:ln>
              <a:effectLst/>
            </c:spPr>
          </c:dPt>
          <c:dPt>
            <c:idx val="25"/>
            <c:invertIfNegative val="0"/>
            <c:bubble3D val="0"/>
            <c:spPr>
              <a:solidFill>
                <a:schemeClr val="accent5">
                  <a:lumMod val="50000"/>
                  <a:lumOff val="50000"/>
                </a:schemeClr>
              </a:solidFill>
              <a:ln>
                <a:noFill/>
              </a:ln>
              <a:effectLst/>
            </c:spPr>
          </c:dPt>
          <c:dPt>
            <c:idx val="26"/>
            <c:invertIfNegative val="0"/>
            <c:bubble3D val="0"/>
            <c:spPr>
              <a:solidFill>
                <a:schemeClr val="accent4">
                  <a:lumMod val="50000"/>
                  <a:lumOff val="50000"/>
                </a:schemeClr>
              </a:solidFill>
              <a:ln>
                <a:noFill/>
              </a:ln>
              <a:effectLst/>
            </c:spPr>
          </c:dPt>
          <c:dPt>
            <c:idx val="27"/>
            <c:invertIfNegative val="0"/>
            <c:bubble3D val="0"/>
            <c:spPr>
              <a:solidFill>
                <a:schemeClr val="accent6"/>
              </a:solidFill>
              <a:ln>
                <a:noFill/>
              </a:ln>
              <a:effectLst/>
            </c:spPr>
          </c:dPt>
          <c:dPt>
            <c:idx val="28"/>
            <c:invertIfNegative val="0"/>
            <c:bubble3D val="0"/>
            <c:spPr>
              <a:solidFill>
                <a:schemeClr val="accent5"/>
              </a:solidFill>
              <a:ln>
                <a:noFill/>
              </a:ln>
              <a:effectLst/>
            </c:spPr>
          </c:dPt>
          <c:dPt>
            <c:idx val="29"/>
            <c:invertIfNegative val="0"/>
            <c:bubble3D val="0"/>
            <c:spPr>
              <a:solidFill>
                <a:schemeClr val="accent4"/>
              </a:solidFill>
              <a:ln>
                <a:noFill/>
              </a:ln>
              <a:effectLst/>
            </c:spPr>
          </c:dPt>
          <c:dPt>
            <c:idx val="30"/>
            <c:invertIfNegative val="0"/>
            <c:bubble3D val="0"/>
            <c:spPr>
              <a:solidFill>
                <a:schemeClr val="accent6">
                  <a:lumMod val="60000"/>
                </a:schemeClr>
              </a:solidFill>
              <a:ln>
                <a:noFill/>
              </a:ln>
              <a:effectLst/>
            </c:spPr>
          </c:dPt>
          <c:dPt>
            <c:idx val="31"/>
            <c:invertIfNegative val="0"/>
            <c:bubble3D val="0"/>
            <c:spPr>
              <a:solidFill>
                <a:schemeClr val="accent5">
                  <a:lumMod val="60000"/>
                </a:schemeClr>
              </a:solidFill>
              <a:ln>
                <a:noFill/>
              </a:ln>
              <a:effectLst/>
            </c:spPr>
          </c:dPt>
          <c:dPt>
            <c:idx val="32"/>
            <c:invertIfNegative val="0"/>
            <c:bubble3D val="0"/>
            <c:spPr>
              <a:solidFill>
                <a:schemeClr val="accent4">
                  <a:lumMod val="60000"/>
                </a:schemeClr>
              </a:solidFill>
              <a:ln>
                <a:noFill/>
              </a:ln>
              <a:effectLst/>
            </c:spPr>
          </c:dPt>
          <c:dPt>
            <c:idx val="33"/>
            <c:invertIfNegative val="0"/>
            <c:bubble3D val="0"/>
            <c:spPr>
              <a:solidFill>
                <a:schemeClr val="accent6">
                  <a:lumMod val="80000"/>
                  <a:lumOff val="20000"/>
                </a:schemeClr>
              </a:solidFill>
              <a:ln>
                <a:noFill/>
              </a:ln>
              <a:effectLst/>
            </c:spPr>
          </c:dPt>
          <c:dPt>
            <c:idx val="34"/>
            <c:invertIfNegative val="0"/>
            <c:bubble3D val="0"/>
            <c:spPr>
              <a:solidFill>
                <a:schemeClr val="accent5">
                  <a:lumMod val="80000"/>
                  <a:lumOff val="20000"/>
                </a:schemeClr>
              </a:solidFill>
              <a:ln>
                <a:noFill/>
              </a:ln>
              <a:effectLst/>
            </c:spPr>
          </c:dPt>
          <c:dPt>
            <c:idx val="35"/>
            <c:invertIfNegative val="0"/>
            <c:bubble3D val="0"/>
            <c:spPr>
              <a:solidFill>
                <a:schemeClr val="accent4">
                  <a:lumMod val="80000"/>
                  <a:lumOff val="20000"/>
                </a:schemeClr>
              </a:solidFill>
              <a:ln>
                <a:noFill/>
              </a:ln>
              <a:effectLst/>
            </c:spPr>
          </c:dPt>
          <c:dPt>
            <c:idx val="36"/>
            <c:invertIfNegative val="0"/>
            <c:bubble3D val="0"/>
            <c:spPr>
              <a:solidFill>
                <a:schemeClr val="accent6">
                  <a:lumMod val="80000"/>
                </a:schemeClr>
              </a:solidFill>
              <a:ln>
                <a:noFill/>
              </a:ln>
              <a:effectLst/>
            </c:spPr>
          </c:dPt>
          <c:dPt>
            <c:idx val="37"/>
            <c:invertIfNegative val="0"/>
            <c:bubble3D val="0"/>
            <c:spPr>
              <a:solidFill>
                <a:schemeClr val="accent5">
                  <a:lumMod val="80000"/>
                </a:schemeClr>
              </a:solidFill>
              <a:ln>
                <a:noFill/>
              </a:ln>
              <a:effectLst/>
            </c:spPr>
          </c:dPt>
          <c:dPt>
            <c:idx val="38"/>
            <c:invertIfNegative val="0"/>
            <c:bubble3D val="0"/>
            <c:spPr>
              <a:solidFill>
                <a:schemeClr val="accent4">
                  <a:lumMod val="80000"/>
                </a:schemeClr>
              </a:solidFill>
              <a:ln>
                <a:noFill/>
              </a:ln>
              <a:effectLst/>
            </c:spPr>
          </c:dPt>
          <c:dPt>
            <c:idx val="39"/>
            <c:invertIfNegative val="0"/>
            <c:bubble3D val="0"/>
            <c:spPr>
              <a:solidFill>
                <a:schemeClr val="accent6">
                  <a:lumMod val="60000"/>
                  <a:lumOff val="40000"/>
                </a:schemeClr>
              </a:solidFill>
              <a:ln>
                <a:noFill/>
              </a:ln>
              <a:effectLst/>
            </c:spPr>
          </c:dPt>
          <c:dPt>
            <c:idx val="40"/>
            <c:invertIfNegative val="0"/>
            <c:bubble3D val="0"/>
            <c:spPr>
              <a:solidFill>
                <a:schemeClr val="accent5">
                  <a:lumMod val="60000"/>
                  <a:lumOff val="40000"/>
                </a:schemeClr>
              </a:solidFill>
              <a:ln>
                <a:noFill/>
              </a:ln>
              <a:effectLst/>
            </c:spPr>
          </c:dPt>
          <c:dPt>
            <c:idx val="41"/>
            <c:invertIfNegative val="0"/>
            <c:bubble3D val="0"/>
            <c:spPr>
              <a:solidFill>
                <a:schemeClr val="accent4">
                  <a:lumMod val="60000"/>
                  <a:lumOff val="40000"/>
                </a:schemeClr>
              </a:solidFill>
              <a:ln>
                <a:noFill/>
              </a:ln>
              <a:effectLst/>
            </c:spPr>
          </c:dPt>
          <c:dPt>
            <c:idx val="42"/>
            <c:invertIfNegative val="0"/>
            <c:bubble3D val="0"/>
            <c:spPr>
              <a:solidFill>
                <a:schemeClr val="accent6">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Sheet4!$A$1:$A$43</c:f>
              <c:strCache>
                <c:ptCount val="43"/>
                <c:pt idx="0">
                  <c:v>CARAS-SEVERIN</c:v>
                </c:pt>
                <c:pt idx="1">
                  <c:v>ARAD</c:v>
                </c:pt>
                <c:pt idx="2">
                  <c:v>VALCEA</c:v>
                </c:pt>
                <c:pt idx="3">
                  <c:v>ALBA</c:v>
                </c:pt>
                <c:pt idx="4">
                  <c:v>DAMBOVITA</c:v>
                </c:pt>
                <c:pt idx="5">
                  <c:v>HUNEDOARA</c:v>
                </c:pt>
                <c:pt idx="6">
                  <c:v>VRANCEA</c:v>
                </c:pt>
                <c:pt idx="7">
                  <c:v>ARGES</c:v>
                </c:pt>
                <c:pt idx="8">
                  <c:v>BRAILA</c:v>
                </c:pt>
                <c:pt idx="9">
                  <c:v>PRAHOVA</c:v>
                </c:pt>
                <c:pt idx="10">
                  <c:v>BACAU</c:v>
                </c:pt>
                <c:pt idx="11">
                  <c:v>IASI</c:v>
                </c:pt>
                <c:pt idx="12">
                  <c:v>ILFOV</c:v>
                </c:pt>
                <c:pt idx="13">
                  <c:v>BIHOR</c:v>
                </c:pt>
                <c:pt idx="14">
                  <c:v>DOLJ</c:v>
                </c:pt>
                <c:pt idx="15">
                  <c:v>TELEORMAN</c:v>
                </c:pt>
                <c:pt idx="16">
                  <c:v>CONSTANTA</c:v>
                </c:pt>
                <c:pt idx="17">
                  <c:v>BUZAU</c:v>
                </c:pt>
                <c:pt idx="18">
                  <c:v>MUNICIPIUL BUCURESTI</c:v>
                </c:pt>
                <c:pt idx="19">
                  <c:v>OLT</c:v>
                </c:pt>
                <c:pt idx="20">
                  <c:v>TULCEA</c:v>
                </c:pt>
                <c:pt idx="21">
                  <c:v>BISTRITA-NASAUD</c:v>
                </c:pt>
                <c:pt idx="22">
                  <c:v>BOTOSANI</c:v>
                </c:pt>
                <c:pt idx="23">
                  <c:v>Republica Moldova</c:v>
                </c:pt>
                <c:pt idx="24">
                  <c:v>SALAJ</c:v>
                </c:pt>
                <c:pt idx="25">
                  <c:v>TIMIS</c:v>
                </c:pt>
                <c:pt idx="26">
                  <c:v>MEHEDINTI</c:v>
                </c:pt>
                <c:pt idx="27">
                  <c:v>SIBIU</c:v>
                </c:pt>
                <c:pt idx="28">
                  <c:v>SUCEAVA</c:v>
                </c:pt>
                <c:pt idx="29">
                  <c:v>BRASOV</c:v>
                </c:pt>
                <c:pt idx="30">
                  <c:v>HARGHITA</c:v>
                </c:pt>
                <c:pt idx="31">
                  <c:v>GALATI</c:v>
                </c:pt>
                <c:pt idx="32">
                  <c:v>GORJ</c:v>
                </c:pt>
                <c:pt idx="33">
                  <c:v>NEAMT</c:v>
                </c:pt>
                <c:pt idx="34">
                  <c:v>CLUJ</c:v>
                </c:pt>
                <c:pt idx="35">
                  <c:v>COVASNA</c:v>
                </c:pt>
                <c:pt idx="36">
                  <c:v>GIURGIU</c:v>
                </c:pt>
                <c:pt idx="37">
                  <c:v>CALARASI</c:v>
                </c:pt>
                <c:pt idx="38">
                  <c:v>MURES</c:v>
                </c:pt>
                <c:pt idx="39">
                  <c:v>VASLUI</c:v>
                </c:pt>
                <c:pt idx="40">
                  <c:v>MARAMURES</c:v>
                </c:pt>
                <c:pt idx="41">
                  <c:v>IALOMITA</c:v>
                </c:pt>
                <c:pt idx="42">
                  <c:v>SATU MARE</c:v>
                </c:pt>
              </c:strCache>
            </c:strRef>
          </c:cat>
          <c:val>
            <c:numRef>
              <c:f>Sheet4!$B$1:$B$43</c:f>
              <c:numCache>
                <c:formatCode>0.00</c:formatCode>
                <c:ptCount val="43"/>
                <c:pt idx="0">
                  <c:v>3</c:v>
                </c:pt>
                <c:pt idx="1">
                  <c:v>3.5</c:v>
                </c:pt>
                <c:pt idx="2">
                  <c:v>5.5</c:v>
                </c:pt>
                <c:pt idx="3">
                  <c:v>5.55</c:v>
                </c:pt>
                <c:pt idx="4">
                  <c:v>6.25</c:v>
                </c:pt>
                <c:pt idx="5">
                  <c:v>6.25</c:v>
                </c:pt>
                <c:pt idx="6">
                  <c:v>6.2727272727272725</c:v>
                </c:pt>
                <c:pt idx="7">
                  <c:v>6.384615384615385</c:v>
                </c:pt>
                <c:pt idx="8">
                  <c:v>6.3888888888888893</c:v>
                </c:pt>
                <c:pt idx="9">
                  <c:v>6.3888888888888893</c:v>
                </c:pt>
                <c:pt idx="10">
                  <c:v>6.4</c:v>
                </c:pt>
                <c:pt idx="11">
                  <c:v>6.4</c:v>
                </c:pt>
                <c:pt idx="12">
                  <c:v>6.4</c:v>
                </c:pt>
                <c:pt idx="13">
                  <c:v>6.5</c:v>
                </c:pt>
                <c:pt idx="14">
                  <c:v>6.5909090909090908</c:v>
                </c:pt>
                <c:pt idx="15">
                  <c:v>6.6</c:v>
                </c:pt>
                <c:pt idx="16">
                  <c:v>6.75</c:v>
                </c:pt>
                <c:pt idx="17">
                  <c:v>6.8888888888888893</c:v>
                </c:pt>
                <c:pt idx="18">
                  <c:v>6.8985507246376816</c:v>
                </c:pt>
                <c:pt idx="19">
                  <c:v>6.916666666666667</c:v>
                </c:pt>
                <c:pt idx="20">
                  <c:v>6.916666666666667</c:v>
                </c:pt>
                <c:pt idx="21">
                  <c:v>7</c:v>
                </c:pt>
                <c:pt idx="22">
                  <c:v>7</c:v>
                </c:pt>
                <c:pt idx="23">
                  <c:v>7</c:v>
                </c:pt>
                <c:pt idx="24">
                  <c:v>7</c:v>
                </c:pt>
                <c:pt idx="25">
                  <c:v>7</c:v>
                </c:pt>
                <c:pt idx="26">
                  <c:v>7.0909090909090908</c:v>
                </c:pt>
                <c:pt idx="27">
                  <c:v>7.1</c:v>
                </c:pt>
                <c:pt idx="28">
                  <c:v>7.16</c:v>
                </c:pt>
                <c:pt idx="29">
                  <c:v>7.2</c:v>
                </c:pt>
                <c:pt idx="30">
                  <c:v>7.25</c:v>
                </c:pt>
                <c:pt idx="31">
                  <c:v>7.333333333333333</c:v>
                </c:pt>
                <c:pt idx="32">
                  <c:v>7.333333333333333</c:v>
                </c:pt>
                <c:pt idx="33">
                  <c:v>7.4</c:v>
                </c:pt>
                <c:pt idx="34">
                  <c:v>7.5</c:v>
                </c:pt>
                <c:pt idx="35">
                  <c:v>7.5</c:v>
                </c:pt>
                <c:pt idx="36">
                  <c:v>7.7777777777777777</c:v>
                </c:pt>
                <c:pt idx="37">
                  <c:v>8</c:v>
                </c:pt>
                <c:pt idx="38">
                  <c:v>8</c:v>
                </c:pt>
                <c:pt idx="39">
                  <c:v>8</c:v>
                </c:pt>
                <c:pt idx="40">
                  <c:v>8.1428571428571423</c:v>
                </c:pt>
                <c:pt idx="41">
                  <c:v>8.1666666666666661</c:v>
                </c:pt>
                <c:pt idx="42">
                  <c:v>8.3333333333333339</c:v>
                </c:pt>
              </c:numCache>
            </c:numRef>
          </c:val>
          <c:extLst>
            <c:ext xmlns:c16="http://schemas.microsoft.com/office/drawing/2014/chart" uri="{C3380CC4-5D6E-409C-BE32-E72D297353CC}">
              <c16:uniqueId val="{00000000-4A6F-4D64-AEA3-E41F66EDB35C}"/>
            </c:ext>
          </c:extLst>
        </c:ser>
        <c:dLbls>
          <c:dLblPos val="outEnd"/>
          <c:showLegendKey val="0"/>
          <c:showVal val="1"/>
          <c:showCatName val="0"/>
          <c:showSerName val="0"/>
          <c:showPercent val="0"/>
          <c:showBubbleSize val="0"/>
        </c:dLbls>
        <c:gapWidth val="182"/>
        <c:axId val="807721295"/>
        <c:axId val="804871359"/>
      </c:barChart>
      <c:catAx>
        <c:axId val="8077212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Judete</a:t>
                </a:r>
                <a:endParaRPr lang="ro-R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o-R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804871359"/>
        <c:crosses val="autoZero"/>
        <c:auto val="1"/>
        <c:lblAlgn val="ctr"/>
        <c:lblOffset val="100"/>
        <c:noMultiLvlLbl val="0"/>
      </c:catAx>
      <c:valAx>
        <c:axId val="804871359"/>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Nota</a:t>
                </a:r>
                <a:endParaRPr lang="ro-R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o-R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807721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_xlchart.v5.2</cx:f>
      </cx:strDim>
      <cx:numDim type="colorVal">
        <cx:f>_xlchart.v5.3</cx:f>
      </cx:numDim>
    </cx:data>
  </cx:chartData>
  <cx:chart>
    <cx:title pos="t" align="ctr" overlay="0">
      <cx:tx>
        <cx:txData>
          <cx:v>Repartitia teritoriala a gradului de dificultate la bac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Repartitia teritoriala a gradului de dificultate la bac </a:t>
          </a:r>
        </a:p>
      </cx:txPr>
    </cx:title>
    <cx:plotArea>
      <cx:plotAreaRegion>
        <cx:series layoutId="regionMap" uniqueId="{CC974B57-A70B-438C-8775-6C79904A682E}">
          <cx:dataLabels>
            <cx:visibility seriesName="0" categoryName="0" value="1"/>
          </cx:dataLabels>
          <cx:dataId val="0"/>
          <cx:layoutPr>
            <cx:geography cultureLanguage="en-US" cultureRegion="RO" attribution="Powered by Bing">
              <cx:geoCache provider="{E9337A44-BEBE-4D9F-B70C-5C5E7DAFC167}">
                <cx:binary>1H3bcuO2tu2vpPJ86BA3Ali1sqoMUjdbtty+dvqFpbbdJEiC9/vr+opV623/yl4P+awz1bbcsuL0
Trt8Tm0rlU41IEgUBoA5xpgA8vfb/m+3yf26/Kk3SVr97bb/9eewrvO//fJLdRvem3V1YPRtmVXZ
l/rgNjO/ZF++6Nv7X+7KdafT4BdsI/rLbbgu6/v+53/8HT4tuM+W2e261ln6obkvh/P7qknq6jt1
L1b9tL4zOvV0VZf6tka//nx9fnjqTg5//uk+rXU9XA75/a8/P3vTzz/9sv9Rf/janxJ4srq5g7aU
HTiSY04ws7++8M8/JVkaPFZjfoAEcyQSZPudp2sD7a7LdXp7v94WvvQgXx9jfXdX3lcV/JCv/91p
+Oypd8pvsyatNz0WQOf9+vN5Ztaphi/SVeY+VLnZ5snPV19/6i/Pe/sff98rgB+/V7IDyH5P/U9V
f8DDPTw/vLAuJteT88Xp9zrjh1HBQtq2tOVzONCBEJw7nEPl5gVoPYyEB1Tcdbn+/V/WxX17X+p0
W/fXwdlvv4fRfvW7gurk6nxy8b0u+UGInANGqYMpwfLrSzxHih4wByHJCN9+5wNEJ015//u/tmV/
HZptuz1ItsXvCorDpXrLJcw5sB2BOaMvL2EEkHAodwR6Amp3zhwmn1+xjD202gPjofB9QXF+6H1v
MP7wpECcEWFz+6Gv/7B8ESQdQihMlmcYlOu7bclfnxKHX1vtY/C18F1hcHF4efXTyeH55Htd8INA
8AMuJOKOJA9AwCq0G9bxgeCYOTZ9hAlw2sXjYl03P52sy/tt8V8HZafpHjI7Ne8KHgUhfnX9vZ74
QWyAcjHMEGKPnb+HDVQjmzkMiac5tIuN2oT4rP3e87zMvJ4a7uHyVP6uULk+XL41EUY2QRw/hnO5
hwo9IBBEMNpW782Y6//+r+R1fHjbcA+Vpw98V6hcLNTi6ntD84enCpecwETgD3PhDyQLMSQx4Pbi
VLnQn3Xzvad5eaI8NtsD5LH0XcHhrk4vLg9PL9+SbdEDZEtBMHceJAgIw93IIg6wtLnEdI/3ulla
1ev093+/gmzttt1DZbfqXUFzOVlOVucnh2+pGsmB5DbG0PcvQsMOCBaCMikeqtF2ajwok8v75D4r
QW1vi/960N9puofPTs27gufs/HC+un7beSMp4pT9ybwBEYMJBH20J+nPynWYta+YNE8N9xB5Kn9X
eKhD9/AtAwuo96/0l7ysGZ0DiRiBt7w8VdT69j//fEVk2bbbg2Rb/K4QmV+dTrwV+F/fWy5+ONwL
AXME2O+L4R4fgO0lHHjH9jsfVq55k97fZeB9bYv/+sq103QPlJ2ad4XLbHF1Dv9+ryt+EBVyIKSD
MANF+fB6HvHZgXSYQ6nYQ2WmmzJ4Df96ariHyFP5u8ID5ONi+baTBHMEEhG/TMA4kACK5RM/Q9uR
8DBXVPmff+rkFTPlqeEeKk/l7wqV08nhyeW2Z15aLn5wjkDAABEC3vyjqN8TKg6oR8nAbiEP1Gsv
yJ/er83v//7e47ysVLbt9iDZFr8rRBaHF4vv9cAPAgKJKwdBiLe3LsvzRYsfMEG4wPgBj/1EygI8
Fv29p3kZj8dme3A8lr4vNJbTN/W86IFjcwpwfDPhd1Wjc4CRQAQweVGaLJIvr3G8Hpvtw/HwYe8K
DnX16U3pLztAFLgUE48h/Q/LFQABQd3+xo6fWZDN+Dr6+9huDxD1WPy+EFnMV+ffWyF+eL2yGZXI
geTJ1xdEiN0Jgg4kFgxT+3HB2o/qOszK7z3Ny+uVemi2j8dD6buC4/rwYnn1lvHDOXAIJE+g058D
AYkVYkuG4I+vr71M1vW6SppXRI5tuz0otsXvCouTq9OFuzhbXC1/UlfuJu1++ZbI0ANKHEQReF1f
XzAVdmeKA/4kdsTTTNmjWqrZbNS5r+pXzJZvTfdg2vnQd4XU/PB8Nl+8qT28YbqI2pTuLWDsQAAs
DndeXsDm6zIIdf0KXfKt5R4o3yreFSYXV5DXelPnkR84dGOokEfBuIcMcC+GQUzibzn73WB/0UBe
6zUG5FPDPVyeyt8VLKvlW8pFWMM2iURnQ8I2r701bJNsJLDnbpv2ktvF6kHDr5JXrF5fG+1B8bXs
XcFwcbg8PNr2xhvo9s3+RgTGvHzZ2yIH4EViRMhj/nEPiIv//DNZR997nJd517bdHhzb4neFyOXV
2yfiwUZBf7Z1RUAgAZrM+OPOlj0Cdtm8Lg+/bbcHybb4XUEyg0nyppSLAeUiYJY43+yrXcolYJaA
tSXxN9t+N4LM1sn693+/ghQ/NdwD5an8XaGiVperi8PTt6TCIEZg0yMHMvxiGAENA+6XgCjz+Nqu
VI9WcFZnv/8Ldldvi19aT19ewNS3pnvY7NS8K3SACb/p9mB6IBiHdDt52RCGathMhBz7W9zZnTKH
ZfCqXcLbdnugbIv/VyPyZw/30C8PY/PZe378qIMECwXR7RavP+zwcgSTsMi9vJno6SDCnz/Py3Pl
qeGzh//ffrLBWy3fkmcBo0XSRhAmnpai3QhCDvgmiYjRHsHysuQV9Oqh1d4ceCh8VxhcLk4Wb3lk
gR1sNmcDmd0b+egAQ3aXCvtRIO6Zi5fa6NccWdi22wNiW/yuoDiZzCfe4vRNWRXkRDZJdTg99hC9
93Q5hui9ySnil4nuyX14f6dhQ90rwvdu2z10dqveFUIukF7Yqf2W9Aq2OsLGB1Di39Tf7qLFDwhB
BHZtvRwwXBCH//nnZrf2KxB61ngPomd17wqj8/u8+Zzo2/VPJ1ly9z9sa9skUP4fHt3zDk/U6vpt
zU8KWRqwOOGP55406CcHC+Rsp/J+lPvv/zKfs1a/anOst9t4b6Q8q3tXI2VxuFydvDU4DGwDkEPf
csx7s9lBAozSlw3qxTrJIAy+ZvvyTtM9fHZq3hU6s9X5W5JDdmBvSDnZssM9ekIOMCgpBOdhtkL1
Qb/OsvIV5PCh1R4QD4XvCgN3efWWGDgHm8NiXDjfOODu7IBDlKBUGd0aoXuum5s0r4DiodUeFA+F
7wsK2Cl+cXq4HZ0v2Sg/uBsAsmUb62a7O3mzPWkXDSDyUE9gG+CTmtp1D1yIrFX6ilzaU8N9TLYf
+K5ggSOVh2996htyaXA0bzMXXnTcYJpwoOywUWM7GB6WKjhLuTavPfm903YPl92PfVfQqMXF5TmE
d+v08OLwytt21hvMHEjowNkkG4lvXvTuzIHEGxxAhv0b3zTX7sxRX6/agChvnf7nnxVscrr73qO9
7Pe89Bl7uL30lv+/+P05sX66LcRb1+vJ12tGdq7F+H7t1w6Bu0/2mj6eLX7Rwnvo/cXdrz8D79px
9DYf8exM8pONttfifl3V0FgecAzH0iTBdIMuhxWzg10em489wGAsOQKOPmHOCYWpmWZlHcLlJ3BY
DVLjIO9AwcEGRA57faqs+VpF4BSuELaATYtgmMBZ6qeLXc6yZAjgNNv2xz7+/ae0MWeZTuvq15/Z
ZvdD/vC+zU/jmMIzcLyxuGBwUvB9of52fQ63x8Db0f8RmRXXIxzecnM/GItjPuom8/KcIjJ3LMsZ
z1pUxgNTvBoDc57rNktOk55GGKsy6vyu9sYmi9FdGMeFWdSJL6N5jVok3SJDxkxkoP3a64Io9L2k
tC06yUTF5LofEj24ThKgYsVHEqLlYPejNa8j0yeRagLYlnEZJ35jnWSmoTJQxCRZtmQxDUo31RzN
2ygPnEq1WYb4AndhdW4X2XCciSb9QBpdjQvdxPQGutzKvd7kLJgOQWdW3K8K4TUB74tBFSnKzGdW
j6hJVU3Szl/6PC472wsJ6u0reyCJf1oIe8hnoZGpMxn0UGFV+H7YuYJXjHrSDtPfaGh8Z4qTtu3n
qYDBoOpIJv5kcOq8dseG1LE39kU5qsgaRaNSlDqxKyxhBVPjdIE1DQKe5V5aVV1wktRSnhjSm4s8
1mM7LYuqW9pJl2EV6zZsFPwE/amux/p8cLoEq0FXPXKtNiXToYwcMTGdVdIpjWIdeiQRaFA2CdpG
K8dGbXJCcdZ9zCMndxTRJdeTJCg1UqyxSKWCpqH3eqiH6zgUXuDLwXilrih8beB8SPoyW46O4VSV
tRP4bqFRcJcaGkczy7fOTWKzwUtoVa39xE9cmQXGlTALlmFNx5tB2IoXhcsZD/Ijyhgr3KotyuPO
1hR7Go/+VZ360SLPRXICzmzzgRvcT53WvhSFY98kcWQ+B2QcPKn7xG0NSW5tlqJAFSY1vRvHkVzx
mKFe+UMX1x5CDTu2oz76lFQljB4e9X7v5mbM4Wd1vfhC0rwp3BaN/LIJhzJWqWY9QJza0N0l77FX
Zkl2YdostCelbPMZk7SLVBGTFHoLRu7JaPUtUsEY2oEK22KkKmd2Y02LALNEMRx32g2qYJiMRR5i
ZdPaKtwUxfW8ZA1p3ASb+ryvM6tRSIvspqmLsQOs4/GKdknZup1Gmrk1bWOkeu6kp5m2sK3sXjTj
VIRteZkWWt8JrFntxiRqb7pQh4VX52S4bCqHJyosfQeprihqaz7omhlV+WVwJ2UYXpXw40MP+z3O
Zn4fNpHXd0P+paiCRHjGL6MPqSVJrYK8sj4UKYv4JOqpz5WonMSGjm6T37q2jSslowygwFaGjk0d
VaFKA0vf+Rmuh2Udxh1WUhPnA4ri4EoKREu3dSJ/ZrFQrFmbSOmVVSWudZ1WhSoHHZ7bIrDaiW0V
0SoJuF+qtizTzya0glJZDdSpKuE99Dhvu2XAKbnUSZSdlw1vakV5hRdxKv3OZS2tbixIWtZLXjTD
vM0otRRKfXmiTcIyN6mKqPdsIEz2hBZxG7vUOPZKWLkvp1Edx63CQ5c3R7igfax4Y1V3eWd19xkp
x2SR1rEMzlhemFiNyB78iaxhffs8+gyXbsVw+imAZxhV6jRkXFqjsXy3H6wSuSEx8a0IDO2nJcpz
x220xa/qvjXcxTjljYpaOCM7KVoUXyHHGnyvNo256SVpkVuOkbgt0yE9E12CIpWwIggmkBsn2dQ0
oZ+6Fios+HKfVmqQSX7J6zYMld0JO5laPg6/YN6nxSQ2efbRCYK6OqpFWxu3IL2/TIOsF9OcoXF0
c8evwkk1+LaY1k4cVqqqSCFcEXWDrxynF1cEW1KqIBlMNWWoNachiVs5DVmL534fYaoC1EdnRc7J
AItP4n/wE8uULiVpcVbURfDRwXUWuptLQoI5fGnbu4NNfX9RhQQPLgPYaq8lctCTApMs9GjhJ2tj
d4S7ZQfrnlfA5KZuHooomfKu8wvXsXPWeyQoqg/OiKJAtX7mlF4fwjl+l0Y25QrliXWU0yzvXZjW
4y33A3GV4aa+H40YTxKOO+NWMog/VVFLtUKZk/kudDg8u9NZY+CVJogvKri0rPFKTPPSGyVquSJx
Plx0TcyiWcesOFHRwNPSi2wTha5VtpopLFPfTEkmTOTFoUyvAbW2dFmQ+XeijWA1StjYBm5JYLF1
OTzlVVak5XGjxVAp04+DUXUnonCWV7F9Hoyp6CfCkDJ184g2i6HjOPMcPLTno6y6UvV+VI1qKNvg
JrGbYMWHskvcfMBtqEpRlcK1+2xc0aqTtidI0EHQRd14lwRBd6R5ZOWqGSrUu6gf6sYdRlN/AL6A
cxdiLv9YpD35DTl1QFxWy2pQYSdKqcQo6U2TDOjcstMeVolKw3Dlbc7nHUqbUOURI4Vn4yxwpqHl
JIXbSYtq106JvYaDHCVSFe3SRonUOGfpwCEIjU1Bq+UQJDlRJKXDmRXD47glErjxsgBX1w0N8YcR
CqwpRDVbq4FodAWhK4uPWNtgiHtlO050qIk1kWXs5yo1VWOrCiJyPs2Ccgg9JFEDb8SSfxxF25hJ
7lDrVBo5GtUZAaPGFHk3eNw44ksbJFmnwiIbLUXGpvYVs6rmFj7DTyY2sfFvAQ31Wd7YmkySLscw
v8IRHZk+DgtX5CH3PV8wfSHHOvRhyAMiEwokovTwmFbHvj84RAWVzLkbDrBoqgbZ8eeR9dFp0WMc
KJoVtIZ4ASh6eZTWH1BKs+HIxKidRUklCnfonYKqTAwOBGQfR5kSES57Nwz8+CMifq89C7FimTRD
I5XPx1q7prZgAR+Y5Dcsa8YWIlRFrrJYonFGOB6ZSmtrbKZV15cJrN5VSCd01N2g+hy+yY3DKKtV
Q4d0nGdpzo3rwKSpPCBT7NLRY0ZUEUL/u30UyrNIEt1OeN5ouuyxE/QTOMWOmwkrLTGozgHOrPyx
xZ8bq08RcAxfrKs4CD7VfYOKo5jxikOcT2qjYlFZ5wnKytgLRegEKqoH3UxRHFGhcNE2H8LQKoOj
sTAWXxjaOO2yHMVmKg0o93IICdESDZT2qtEts91MlIOlqqFF590wkHMwseJPHTe8VjirohlrGhNN
cyOSytV5BqM14SwGwmGnVTo1WoRAc7s6qNkJMFZBp8TpY2c56jYdVoTG3TixogTzz7wPNQSbEVmi
uRgl8KNM6R7ZfBkEVRteA2GOkplv+2m3xMNI5BEdrSw7r8q86qa6sTu0KDrhV9MwQsi/ZbqMwynr
GyEuyZDKYsmIP9BzMvgEuzWyR/xww+HDBYcvqAwQMs81Bt0c0oWcImgguF3I2dTvaAw/wpaTR2Xg
Gag+oWWsPZlxc7ujul74FrSRKs+kDIUrIRG3GQg2uFYNgxW4+zWyzNPKqovYy2k/pMAykv4C8RrW
TqCcEVEJwvnSybMocgcCFNEuu8LzuS4vdy90fHySB5V1m+VDqYPw8QbNp7/+42R7LefXTNG38s0d
nN/+tsrv04u6vL+vT9b5/js3SvjprfB1j8p4oz+f/eUPUnir//bE7sNVn39S+UwJPzMFtj7DRi5u
LukAJHdw+YMa3r+K8Zsofmr8KIzxAUcYksw2JJM3J74gNfUojNEBgTJQubAPWYCzC+p3K4zhDqqN
YBY2ZENgcxmCRlthDBcbCkZsuONtK7S3v/UZZOACvDCYIJn9fDQBuQD9DRoEBi38Ize/enc08Wak
gx0HICdGPa9S67SJ82nS9OtCiAXLm+OoY3PT5fddCtzAhEtOyCdaQTSOsZw3JsVKtPKjqem6MnHs
ZlUYToqkTSdAG69qS49K6N4dMT2N/doNnfS4M8OJgzJ/iUV8w4dwYmx7mnTkC/FNqvq4nXVBoLLI
WUgfLf3YctO+SkFDBuwot/LjWFpHmuZHCatmWRsVCsXmwvfNBbcKD8sS2FtJR7fnzEsJnVRWP+ej
Hc97mk5YRzxbh1INOJiU3XjNKr1uS3GVxEDhRwOiyBrMOJV4UHERnhqI4iAldKh82L0x71iWzkwX
1BAy69qritGLUn/q83qRD1WjeNl0blUX5STOEvvYL2006zIgFbk1lir1+YdG1pXXlwFaIatLIEKH
btyOSIHffIxI49lOqNqGqZaHRwg7R6muXWzrk4zzScyAW2it3TzGd44tVRx22iM0OBHQcWa0Wy/K
/FncVlKRYLgxNZ50aASl6HRzu//CfAfQSOzEteW4HhoBZJCn06hFv7HePmm5vNEZCNuBfiQWO3XC
owG1HzOdj6qyHeoaSfpp3deOC15O6cGanrqk5VMUgnOCQwQ0BDUTw/I1Q2CYRHxU0AGWApo6IT6Z
MBIPkxw1AbDmIlWOzoGgleO1broz0oJ9EOfBJwTiMWYOdASspEWg74YaTaONr6JbPZHSfOmw8RKf
fDFJ94l1eNmxPHCjhgWzCPNYBawyLiq0dKMByHEnb/q0nNg9qSbJaO6LChjFhqOSvhvnzOcndYEq
xWugqtzEgXIITlalDiecRZ9E3E1bx5zHPj0L2twNQUkonshPZYfnfVEokzn1xIylm9UgZHFln9od
EI2uEmdMO8SlXQDiXyI3of3FCDpwOorhLJXIo4kEZToENzixPtUxUDlRiJsyGT/AzJkS2XuWU61j
krfzth5Kt05Ka6bBJiCU6KXfdq1bwpBeoJHKZWOLwXN4dhJn5mgwIv0AAla7cRVI1x6iEAQk6AJZ
6hnNms9hmqNZxqrKBTI5LvhY+q4/1LFiQdkrGYdXCSQEjwxhH+sa3cZJAvKfD/W0lvos6UTnWl3X
KcOaYh6U+Nyh2bFGQI8NO84RyOKxtqrpkBrpEZHfhlljTyDvNRea5ap1AuoG8IzThLafm4B0bjTe
4themr79kmXVNUz5YAqyJHENTP6wAnhS7ONpZlAwxXbCJz0DZwWu4F1bhHlDLB01luC+8EIv0s6q
gE13gTua8Uz6LPaSGGlVoipyhcOrWSyHuQPLyzQg6bUpo8FNnCjx/JKsNDzgZCTRJJOgI2A2L7Oe
WODjWMu2L2epjKZh2+Kp1Q7OtNRJp6zCmjuFXoVpTY9lGi6CxJ8HQ3Ju5eV53FS12xTJIipGojJr
SFzCje86pFsBI6mmOhgux678TFlzU9v+wiIwpEJThW7pOG449nySFexY6+w4jPQs6ca1ZMGyq8xV
17XwzANxQ8PmaZwfF5Y1M1jfd634LQizWW3X7TFvRObCOotVmAwTU2fHfpFPOwvfhEYHKgHiiHv+
G837+HgMxkpljTgCxY4XZYlDJXw+HcOGABAydh2ZaTfRHPigjt3exskyxj537W7gR4Ht32RB5bsp
WD8q0509GQSowhjMVc7zSxKw5NhqauJpuOgbODPjy5z6SyvFlYcjOhUDmHBOwj9nIJsVsjRVkSED
OHbhhzHmS51ldOqTUs8dGYHSbcdiwQJGLvoACPrYgMjUJgcK7NvnoYGwUA5N7jmWuZIVvraz/EvE
nLmF5aqsrFjZsnbTID8TwE+rKr+GjWKrQmKvKeVM5+YIVC8II1GCnMzTdZLaozfw+LhyUlhKs0vI
qM/apGXKts3gkRjcCBABALJdQS+2uk+9Khr6E6sqYKEKyWToynMUBEdDEq58ZiqFSBt4Nim6Eyn7
xqvLlkP0KpZxEh87Y/oJ/KR7MfZfhsoCGQ9GAYuB4eLIgGnil25H2xXuYWBrPuTeiItoNsDFr2rk
tVczNi1SkOHSOSr7cTkmqZxLYxLVIZGetF1zX7fjSU8be9nwXsI64ViqboJoIvpYrggC56Gk0swK
VJij3gzIV0McNWCcyjnPmkueiONQR9csqE67wvwWWVZ5LO3iRmpYjLsw7CcD7a4KLWKVNOE58PhP
mR2beWZLqkTJQNhgw2qlHRYpGH62Inl4Mxo6ZTjUKg+KL10MxhexSe2lobwkdnE8xOOlY4ed4nZv
uwjHEETGFFY4TBMPWWHvpgxMKbCPG1ePNZnbWg6q1u2qCtEwi0OSTrvMci6pDY4OqsjCSsQ08Ot5
bqxVWqCJU/G5tHMvwukiI800NmBtgxgSBXYtC+VHuq1cEHAqFOjExOFk5Om9CZrZwOgU03biU+Zt
bo5vE1DpxAIDpw5uaBY3Lu0hLo1+QDyetLDy88AGVTj2x8ARi5mN4ngiC7+HuSDnto8LSAX0WXgL
rsHUdtp7ZgkXjku7WWdfVQHkEbSjYhjHmFWu5YfHflgkXpsW7bzMY3YBP/o4wXU0T8BDwSQaFXjW
lkviLuIeiMebIMhjFfqFZ+mockfLGiJlpGVNclzfcDskpySw83mT2/ykIOisTs1F6gRe5KTX2ODQ
TQL/YyfBSCQdRFZHzlnVr0zTBC6P7QR8O5O6JW0yFSe4mzaZPS9HCykbeByYG7VXVP5xTblWdSim
TQ8rrM+mqJDz2k/BgJQAaV5CoiDI5rHV+BMw2i5xxFsIZdBdA17hrJFnAjI507QyMFKKIFxIFJFp
k4AVKGTdGzXAwFS9HHtYpLoV57gAS6hf0dJeJeBPw/9AwHEHhw+qwfQ3FNsQRJGcOpqnsyoeC1UM
2VFowTo/gINc0dbLYcWsRXjKfXsGoWEelp0zdcCz8kqS4KPQrq9CYX3szJe27qJpWUvXirsvI6z/
fUaXNkLuSOxJXbCVSEevr/FVnRTekApI61gfUt0ApWoAGHkB90MsqrgHv7U6kZVcgBouXVzSSUcq
co5hiqWQCwd2mH0KTH3il7Q7qyL/KE5JAJZGa02coQ9aVfpBpcZYdCsf59WH0KbVEWpsM8+tZlAB
bkAjpp0n0jpyCwuSKbo9q8eyPmJ9NoFZPx+oXUxYW0TXIFiCk64rYFJnjpw1Ij2zRzNHvg0sySZq
CNplWGYXmhVnOTbgVlnzYujbacHxrB/JDOnKY1lxlMkqVXEVHWORuJByWzgJs9UAuZ1A0BNfl4kr
fH0VdUBaHDwq04ZrUhcQDOIcFip8FYPH54qU3w4sZ1481p/wmDReMfDPDUoXBRg6lj8c+cm4ChM9
I6P8ANwxgYyE5eYZAkabJyeNLBZla1a5HFwQSl9qIxd973ipGedOjC9wjWKlTVge06ge5z2QzCOe
B6HrR30GyhvcDpkJ6rEoBZYrZTMpjR2BYKiQuYmCqr+Cw4/6bNAbBW5bBsJabaN5R2ThURbls0hr
usggA+oOiEGWqCL8s8RRNW1xDl7Sxhxy8vy2pfawEH7PPia+FZ1YIj3tUsqPCRmKaV4OZOYAeEC7
fEmOIUVQLpE2OFXpELenAnXAIgJagB/d3ggZQ3ZRlI43yPyuGOprnUdSAafL1Iiz/BOF7FDaBsd0
bAuVOXhjHo8LVtc3VDsd8CyWeqzRc1ZUc2cY0ikFB5B3lE9Bk11ZpoY0hXTOQQUcmfqWZ+sBXTW6
oPMWvNtesi8/7kK8Q38BwVH87/kLuwcvHi2JhyaPrgKFzDncywtmg6QCbsQA7+DRVYCrxSmiFK7t
hRv5hdjYQ1tXgW5y9Js7ADbHN+nXwx5bVwHS7bCVCQ48Q4oeLpe1yY+k26n8Q7oddnLCVYEUnAsw
BAmFEw27roL+v+yd2ZKluLqkn4g2BgnQZTOsOeY5brCIzAyExCABEoKnb1919tnDOdZtti+7ra/K
rLKyYq0AJP/dPxexh7k88rc82HSyD5tq125yecD6GorMBexHsSZvUqgiTfRr2i3zKW4ZTLO6arI0
6sbdALv65LNkzGRE2oeoRZ40+kaUMGjXN7iXfVkrhUwAKcKDv0Lgjha2Sc55HWfNvP0aBq7OW0df
qr4y57ZJx3PvGr2X1x+h1m7vT3/SeY5L3JPnYY1sqb3ogVRxvvV+4yA8XJOxys6fsByTMBOVQnZj
BnWGq5YUlgZ9MWrbHifThWUzY4PaEKGnHf+10Ag7j1ryLtKHthHfbBOlr+q9FwxwHboUngCLMPwP
05rD7uR5LOv7AcnULTM6OEqOWN1DDLGPiebLvnXY7mfvj26jPoMMvp1Gn2T+EL/WVkcXfyXypdPD
TVA1caGS+M9KZRtDQvcpRi57P1XLo0/sE2uDwqhuPxl9jmaHSU9sexVFvKCV2CsPNrVA3Duz/qjq
7pYmZjfENbu/Zh+5DWZ84sC/m8i67rGADO8s4a4wIt6Oq9QXnOXZ7/1W9Lsg6GsY4WufVz6+dHP1
33VloT45wVICw+KgrH8OG+kj4JjlxXAM/VGFhNPvm+9J1zSbuihT4yx32zQfMZ8eJmuKjfIc2ev7
4nflmtjSGAwkUJBdMXsi/O2NlGZmiZ8XhdRvDP1z02HGTizS60nQMAuC+exMX0Rr/Y34EjuQaDLT
Jchm9DqekrHd+cHwZol+Cav+Va3bsVrSh7Dr9rRpeSYRMmW8kQRhhzM7n143JdPlTrOfORoJTBD7
TsXyQiquCo3L6TVvle7Xwqle34QzfbeAVI64DX4EjNx8qUyQ65ZRGDFVWrTh9iG65HNLW0TQcXpY
bWizaE6gGUaoZuyK28jnOz63fq5NsJeVvdjV7YNO5qNdjkCzDiJKLyPpMtWamwTfBMl8RqbhVi8r
z01v/LwP0/u08YZyVJA4HRtI1nme3XWpNO9eFcUH28fefqp+TVsEcYnASovkTkQyyhYKObgGxzlu
7zHaVVlPFc9E5B+3ld7MeCjSbmuyyeOnbRhv1lCee5/uehLl7fVWrn+PyegVYbzdsXjp8S/1m0Ks
n9c+fQ226LYZ5DseWYzCGNBk7Dr8khg9CE8+2Gk6pq75pAm7iOZ95tNJYQPdxdjStjZGEFPF9TU1
OfhDcIiWP7gkFx2MfbGmpV/vtvoSySAsgqkrZHMIrlZh3NHLSjd3TMbtKqbHLxVufhZYKfJJ1Kcl
/Muh83ykkYUhuFXW3r2myLsLqmJgDmzYTw7OT6BN5rXbCZk3aIHR11mLULubm6rUDZyMuevPlZsy
01fQ8N59I7Zp5/VYMRqKMca6jLoAgzNN+ry2wWWcwvc4+ZoSjNZ2Ts/Iik9rw+AO+tVJCHFfWf3a
yOkOGfA1YZzyqQ7tgS60yhjuD8ygpt0JrKqYsepvXbd3uqlv/BmuXJ/ge2y4KcqobgUwivB7Mb0s
pYNLV5mRYvJeuiwK6DuNx4eGk67gsruZ8eKoPU7+CRGY00cdbYewS/CRwxvtb14h5+AbIXhmWZIW
QeySopeuKZV/TcdksObGb2VRpz7WSqznpT/h/wut/TXGnfebg97JnaILuIFozcdO/HKLwIMOByeR
cwwt3x1qOfk5YuyDsApK+bog1mJ7ZbXOrDcUZko+yeKBBoGSRIB63yXKZZsXH02ql10XLD70f+0f
CdiEhzTpq7Pnb/NZuFoXgB3WIwkU3TeYCPJa1N4epyC8UZGyTNP5c6XjnkjvKKbk2A9ivymVhW2y
4wvhJaOAQtbZZf0ytZ8Y2rsPJ2BMMQ6YiTbO3ijHfydcfQ9iG78DOIT4KMorWkilCxKlKQ+CJjjS
sNXneNDrO3zj8H7D6spGFsDOwCXaab7pPatmuLLpVhVYFqr9NjT8K940f5kjPeRJpQbkPVbnupuu
49UWqFeDIQKuDczLCCBDptiY4pLyfsltm1RNWUUD1pa//JO4FykYLEF/DwhAC6j27QN03JNV0XDU
Q2PKODLt2Y3goLio40c/0XKHsHqqCwPo7dyP8zxnXRVV31wx2Jp+IzPX49YibgYI1GN8qDoK72Rq
OR6zJW3q1yZpwidta1USEA6FmxZvN+H3cdemtU7hnSGmjR2Wpo7BkUdyrBE8sAW+HUxpqGs2paUe
25YjYvA7kA2tj4cpGasL7RDlR0qRFoPDEIPwGtmBGK+5s1Mw/Il5/9rUdMHv3JETZS54g2fWYKNM
B5fhru1+/Di0+1rF632FGQ2XbRwAc/mQ4rYIEvP/g7Xru/L+Q8VGKSGIoP7+jrz/Fqz907HP/5yp
/e3v/U39Qq1CWSZQv2kYozHxD9g0RCcQTvL1hRUhCrXXtyD8p/rFyVgU/3WKyDTEC5IiaNL/VL/0
f4To5YKzCcDh+Un6b8Gm0Nj/LVMDcoRAD0FtiH9ev/A/q99uxsmoUQKHCvzQ+wjXMuKwp5rlzS6z
KRXt76ZB3agmrBCiTS3WO4onG1BKvoJSyFli2qyN1h9Y6knGcYNlHKwJLLF9laxpZtv1RUSkOtFQ
eJdlDOJcyORui6cdfsiRLvMx0S0G1yb1yjVC7gGaSSA6mIGghvQujnoM1Lp/16EHQ8+8Ahraii5d
k6ISkF5gz+5MGIP86OwFpaEhAwAnkEC5B2/VPjykDSKRwClzcGKzqJ3eAC7W2ZhAZxGyyqPaBpEP
GI13MHCHR4JsH2FMM8CUBJHYimA99Qn7qWevzeBDwWcOU3fAYZhjtq7sAKDWHvGKq1dx3WHF9Gtl
ycXhuUYSp2huDYv33RSFWGNocOi3DthYtC1lWv3uxnQFtoZvIYxqMl0jICN4sLM4CdaLihdz7Pkc
ZF0Pox2h+FSoensYeyLzhiBZM0nbFHPs6pLbrQDye5ss4QNrw1vpzfB50l82BbsImgkBzrL9aqr0
W4NCO9oxzpdohTGSprvEWpEnIYW4nOWjlvS4Nf6Qr1PzlI4dwgoO0TEES1FZuNyt5Zd4bW/HSdMs
7geacVMdRTN+yNE8GgIwa1x4xr0VREQAlGTW6X6aYZoRqMyaT7cNr2U2Kvtqx6HOPJhaQFZFDVNB
S2zVUbvvfInMMnb9QSpm7tpxfOvGq7FYP1ZhRWBGRyCyWoAtbQztuHXxQ4h4roAQ5dii4VQtC9wN
JYIM2uHEuvpLLqwAvikRILR3yvdvBpH+EK5rjD240jb+qVv2JDabYqFWyETS36SF8dK13pzFxjV7
Nsb8djYLjHgZ6zxcpotLvSEzlWbnaZBjJtra7ozwsFVsEgGzQdbGqg1kJMhTsOOXfoDX1Vthdmvs
EMgSww9yrklmXFB2k4LZmsznZHUHu+D/7K1jUmCuafJldQ96gR9p4uWnrsBedcT/BE/TY1LzgYwx
++DC7sCixQP2Ji4IjfNeh8elwp8Cucujobl3jNzqSb0M6/qlZXsApXMbanhp1Ic0IuAqeU44rpnp
65NCjoJ5N4s7+P6y24P6zpskPXZIY5oAgFgNYGzR4VmZbW/86EKXtqxt9+kq8si0LdYB2pWMB2M+
uSdPk7e63FX0YUwjIG0sPs4M80nNZkyJq6APcMZ21Wa8crRxRhf7kUT2F+iwNOcGPqNAJpgBRr73
PToXq7dCbIg75urjoKJ9mFbZtMBcH2v74OOMrv3aADVeIr0ewTIhfiPq1zxidehneiRj94TjJ16U
Vz/VKX+yyZbbFdcG7xN4blW7FdOWT61pcydTWoS8KtUWfM1u2mPffRSgmwsWKuDl6c2Gt0BBeza6
gOD/bHTg500Ul2To1C06BpAsCebzPhqGzDkH0do9dF1wJnWKp57oR9AH8M7W9tQ17iOhVBQ85LJM
6QjrsAVWxNEk6NJon/D1c6rcbxlpCtnA9qrr4pziumTpMH8Rttx3V9jOuT+SAkply6MCGp2F6fAl
gw0fUvbvIm4P3ZhU0M3JreYpyXUwv0B5LKVRMTz10R4XQm9Yqh8YwXqJrONDsv4DsuttgnmIQGQq
PF6dh2oKim7bVgTMyW70+UWQ6mGZ4VlQ/IaH+Zm3YDFMWjiWVJknqpz4IB88+XK1Pjn18CZb/1ZE
Cc+6APInBiqdhU16H/UwNYOOFgFUHxH1A9/oLdocQwkEZc5VXTdZDb8mE5qDG++9iwbukYex+xZV
ZQpp1bbz/PAVDvi9JD4ADYlIOfGw5omp7MOx5Gp62uRaBK6763h1N6p1yWcdlWYh53gGmuqT9WNO
iCzikbE8oDw56mmo8CytPymFgbNusHS9FpPTNFqSr0h/Gh1fDKyeGJJQwnS8jtVwlva+WKLdnAo4
ztGMuy1q53Iz1VVtC1ZGkfoDlLvEbbejBrIcg/Nw7jj38wpWdq79+RkvVED4hDGn8D3Jis0bQYJ6
P11sMQX20y9iu7r0bj0eJ7mcoxMNZAI8nt47vdDTEIUYISp17HjscsbaBhYoPVvlRLnoBK2KDnsR
rOnMzlh8VVIEsKXWKS4FVbmK/ObSSHHd/OxrvV3x6CAFSrLNH2pdD0lvT4KJPtssIi1il6+lrf1d
wiqNs5znz6ihBye333qySAbF8sS67Vu46Igt5zcQw3sRtm+ViI6jC++Gyf/TmOAWlF2pohi+DH8h
AhJc1WQnTFTtSTv96Vzwkhp83mEC7NiZIqgGMIfTb8G2IWcxffd58tZ1y2GOGR4+p79EIM6sNh9U
qxBBlr3twfbYtX8HY3M7D/4XUv/XWKbDoZNur5zzsk2IO8nUbe/8+6ap/vjg9zQM9IyY8Rd+y3cN
Sf9QGDf5MoiddXBExPZn8eZ7oz04GoRYfF9RRHP1Ga383vTYNgY5lwsl+9HEtxty6W0FXEHhedOl
q+HwQNWoYc3sBoiBOy3Lxuv2QTJsWTiiBQC1eK6r9M88Ym9r8HSnIj1KUj2HjXtRlc3nhL7Lrnmo
mS020u7XrfpQoRJ55dLnama8pDPQH/ihXqa84TdEW5iRhb5puEKsFbpgZoVBYPp7OdRLHq9IrUyc
eyS+xDbZR5ypbDX6W7f8nHTdTVJ1S+Z8vZZG6xc6x0nhIDgyF9LcOPKeuADXpjZd5jEfESfJ+k39
EYyeuJ6rY7CGGAwx2pTWpvsaAUQebogJWn7bSC4PU1B/pRBt2dKvzXmmeh/O9QIetfsJnSKHVkbl
7Ea4qIuAZhnXW9eSe45rl80JEhaz/GJQSpyue7aQry2IHwVZb5Yk+rSreu4beC2jWYqJt8kNlTFD
zaQpJDpbeRRPz5zOYR4ywAfbTLqyarqHSFSlWzpQFdO5HrCMeevyVlNxITo9cWp+PKBlxaIDZGgb
nl8XqjR3fQN3Ut8q0T5aXiOV3dIt13F/F8X4lXA60oI5cUnAksFCvzG8C/IJ21I06acKZpHTps9j
b5FQGeOuW4CzafHEQutn0Dv9LZKizE0RHCLg2SZcdI4aG/S015SAAS4+GfeYTe8pr763ATJzVeF+
jmf6WA0KiIKjZ77KB6oRHuLsH6BLE64oOlxYAMV0aGp55yO3zde+7WE/qhPjLIEpo7d8m7fmKFeC
e12xPAmS51qiyCO3c5s6ki9/gRcjfJsrikGvUIbxIGDXK6iRgNjQV3SjukIcdRqf1ivWEV0Bj8Al
H6pP8/qKfliojq4bdi2YEBSMyuAKicRXXMTR0J69etgTj360IEqaACZDpM81SBMG4oQ45LuLP7yk
YFFoE37VYFM4GBXU6c44zyUprUfxU4CxVFegZQLZUht0UtLhG07v82gdKhNgYATsi7y/YjGWR1E2
X0mZKzIDq/2RWPFYExjYYGraSpAzBWWDg2IO1iFw2jQFv3NFcQRtkB6P+xiMDmh8L4tB7fRXfKeP
UJxA+wn7ML2TV8SnvcI+Xti/0iv+Ix3AwCsQpK9oEO9WRA9XXMj27t5eASJ0y6bcsvqI8BeyW9EY
V5IUdpFf6Hvgppi9uFwSA1gJvchdy0FFhuhKeDSVObtCTD1ophZUU2fWS7P9Qk9gySWoJ88BfzJX
EAoFN5Vh8jm07eCXIWgpd8Wm+oRMO0bXGkouOjfpnK9tfya9/9heoauNz2hNXUEsNN9+qV6+xd6W
APbmPw0qA3nI5w+RxsdhUKhuYB4tkR2/im1VEJnJy5RMXqGB7edRCuLNReRFhNHvuEUbUhm4M6M3
HVLXr6DCUEJY5oWVfKuOlSOFx/qd9HyQXYO1GSB6AFopHrFK/AIxDr1jdX/0RoywYTcUOoEm6/ts
Raux8BbYxWDAiwmENMQTik/dqjTmmKpsEjfv/NGJXZ2Ez65C8DNjJTvWi/e01TKFC0yCfAYIVGyx
NOd/P0X8f5ZlRtsCIeD/3nL5l1Nq/tl0wbG817/5N9MF75kCjYwTmWh0DQgDuBp/ixzxNosQB7fg
ZBf0dK/OzD9MF5y8g4cexyyHOLziv4LMxEc0iK44xUsXcPTfvxM5JukVVP4nLB6vyghwMC0FwoEc
M8BLzP7VdBmqwPUJH0jeD70sjFdHNx72eC3D5M0nKspZg0Zf4x8jGAnF4qlvrJLdITUMc5L5qIHJ
H3C379CZ4bt+i+wh8Wty06FVXECewCTwVvnao0dboKeXvgZwHVWot7NgzRdc9N0KBWdc8jgTFMz4
2GcD6mTgqWq2B3OLxXGZL75dkeUoGBa+AyeEMpyJuxWrWcMKneovugUOk/987gPhAW+IXwyYxpsk
Hl+mQL9xh4JL2w1PwOgucHy/Yii1JPDLzaf4VH+VcFgoM1gUcL1JuocVBXZyGb2yrvih6VKNpVnv
LP7IjeZsJSn6ZbvBWxhOKIcBiIx05sloAJEZ9nA4k+lrcbZok1VnG17LkFM9/6CbNePLoSE7pcUy
qr1M2XPiT5g+wpLyrkMRB3vCMu3DaUMLLMLGkgzzNTI6Em4vrdOoU403EPQkQ5MEO5sp03Hb4Ncu
u0HUM6qPINCgpqiPrxeMmRnqm0p3t1ajyDvCJ5h95mW+9puDBjdYEDmOx9XHstsF+k/YjAg4F4fA
eJGlshG/8SfQrYg70xuuko9GgsFEiWxetoJ7TbWvrzzHIoPdEDXhfogmdpp4v54DHSH19bbw3vMb
aGYAlMldULdoJ83jw9I13bXnjQgSeeOM35FF+zobbMyKBUcdYROe5gO48SlfVbIBY1KPUoGoGNCS
zuYQsLnl1ampQd/0lQwLvSUWvlnTwCSBocaU/Jo3/jZF06NeIQVsBFLcTUMxgNJDEoyCNPq/pjBw
PBGrI5ZJPT8bWqQKkjbLYZD1ifnru1gQ6Sx8ztu+FlllUexOavQYpZceasfXDA263OO0PhsDeBb5
RmnjEePXbDGabCnIU+VJtJq8EGNmjIFPFPDn5gx0FcQ4ok5syYOC3O6m+GXo+kvisQ+/lnutQHED
AixtWkfZRKeDm9HHWfibDLGX+OFHp+2+hVjLjGyRYeKnigE7f1I9m85AuIjhWDXVZV3Di6bdiXZ4
yvBNbbidKsX2rIYPiJkiD6vtflHDa6SmEs7wrhp5NmwDig24tKAPHjz/w6Etqdc1KHqBkpdz6QU2
KBit+cRSAXM0uHP82ttq+V7P5N6h9o6AEh3IFOSQW8P+rklAAZvxE3se+DSRitOUpL85SYOSbh3P
wiUNkdAN/e1ke54tRttsbQNAsdVPmmDTjFqk1r5FdiQMKGS1XQITTnm1wdLYYLkk6QL4n/pVNppG
5M6b0AQXgTxHSLEyHS/2Plj0H0BWJtd8uL+W0Q7p7Mt7lSJgHEIEPtS+aTbuViW+0EFGHNj297Os
b+fFTuWm4t/bIp6jtDs3ComjpPzQuaov+9nHl+hx+sH0oxAOZjrtf9WDmXMx6TOsuDMJZTkt8sYL
eAe8tiWlB3eb+/oRxrX53uAu1KF5RzP/lqzoDKcwfSrPqMM0xT8rd3c8oG9u9XnRLhjPu6AIjbcP
OcrRWHqDQrH+ifvDoZrSnT/H3W2gMZJicwnyDjoBRRr75EeqkMOIC9PrnQjt0UNFf89jvpRjQBbw
yfp166sn1Ww96IJ+h3QM90D77Jhd9wOS+QfRoX9Xt7imQsoDr91UTIm3Zm1o7j0stQNj4MWJTNGe
AN1vYgJAG8ivqoLMm+uv2aRLVklyrML1D7TReXXDx+LEK9fJZyM0qhFh3GehrxPgdcudc9tByeBz
aeX9xBeVj9pc5t5l8zztjG9+mM+uXML7OLcOUXB4ohOQsJbonaf0S5csl1aLXazDR9Dnu4lWeY2W
YI5o5JmN5qSX6CDT4M6XtmwjBgDTjjAaxOe8OQAp8KcC+Nhs2a/teBTL5ONMiQGfLL5lrTtzNz4r
1NGR3b2YAXkdVfJCXX2NCgdwHz4GKLj9qmSSfHhWEdgmKCt0nXicg/EpZf4J2PKtVN5HWuH+iMwt
UtosBprmeTX8HTdnCHNRbtVAMLx5hk0lt7iAIRHscaDBc+p1Nm9pBJmfioNmQQtaZNvFA0LdFOXh
rF7WEUxdfA7r/kV2Ps8T+NYx5lwM6ygaxKvEnrehXyyC/jsIkyHnC23LuKoPqC1jNYVJl1UiSLC7
44SFviGoigiZw04Ky4iZT9HgfIuWwgW2bfu5KV5fzZpTT7rTEnlvkYZeHcP6OWmWHjwG+sCrwQgf
TozkdqJ3XeLd1un4mKzPA09OsY9hw+fmokJwGzoIFnQdoC8I+CE4st53NLIaywx5SCl5r3HMSA6I
1sO3VRJ0IGDKuo3yJZSHZiX33iz3a109TiBoMCfpIjb+EUzOccWxEFW6HGNv+IgtIISYujKpEMAM
Fb1n8KktvIOuwcSGTLTA1Hb0ffuYWuS7wZsAv4QTNSIJ93iCE9yA39ysfz8Ljp2zt0cad7hFY5j5
cw2uKPWxFSgw8rDmKntkBKZhLKI/SKKgf1Cl6cGot246ih7dbfCdmP5S79H5/E4l6iRwqkIoZ3JM
4vbRAHFUa1s2TL1Y156g3mDO99MrVm50fJs0LkB3lV4DYmQdC1R3L0S6J75U3yjOly62Z4vGKhyc
bkdUijlXHlZkwvtEeVeaCHaMTbFH9T7aQet2a68DGaUPLHHPkwi2x7FHqYkLLO0ehqKHuSeInjgr
5qm9T+YQ9I1Ieuyr5gOO5QEEwy8/cTTTCwccHH/DkwF4MDtMwTCMaQD3ROVpaFleO2kOnqcZQHx7
W5uqzmM8VSVUoix0j8NUjGi+cJI/PFo1Dllcmxtr6jcUVQpZ6fewsy2iKAfzT6s0GykomLq3ZZ3A
o/GlX2K8AubA/7QkeraNOnuY6eKp32N+LMnKLw0q/mSjF83mg+tcWafhJ254CUyjfV1rhFjecsvq
4MBm+VWDG2pXGHqpcUXQs7QgKJGRTcAqct+xhWhLcdfBaj7KVN6JTrx6eMQiHzKlIgcGuRKTucQZ
OIgom0JV/oFocz9jS0nDR4KJFq7r/dYPDw0MVlK9eL1f4K21B8AMuXLg95JKKpzHQYqOtzjIBmw4
DXGMDQ9PbNMHTgt01qJ9WrM/0zjetR2ev1mLD5isYbYp2OkB68reYJNq2fR2zZfSFr/KXvmkqEnz
xtbqpNv1aWzYSfUYD3QS7BtYc5j1t1NQTXd2bTPm0WEvhHeo4207ezAPWs3KAeUPyWtgtg3yrPaA
26X0W2+Xcro8g7VAGUYSdlutShYjFfN9MqoARwF1+8QITOzQD7u2tWVvceaBV30aA4aNuPrAOAzo
CH0qrEI/ITxUvtU4EkZ7sFq36Hfb1nh053lnE7EcPJmkFyiXCSRyeDBypEfWD68DRV471pBAGE5A
NPLNy2XAgeg6D9oAM1JmBJlu1Cr0b5Sqb0Cq9RlduTqlECTMJbejkV2Ow1P2vCb3yBlwMJC6C4OJ
FbLe7pqVftQVdA1sNVhge5YiUwYAlzsD136G5Mj9Do+EgKfZJbS5UcNo8oSMw4/ywhK9g4vVqy0m
xo92Gpr9vz+y/18I/jIcj/Z/Gsb/Z/v994MD/wb+/sdf+Qf4i3ezEJxxh8OsElALf5/CcV41rDXM
6CleK4kiG37MP9CHay89SWO0SK9EAob6f6APQB4IQZscM7yPP/x3pnCUl/9LCd4nf0HEET5aQP4i
if91DO+7FRF9FYd509sVY4/nso6gcela8G+tDZ7XwY25I/EZhnubwZWds6ryEO2MKSwjbapCGDIW
yP9E3tHIHmMY/p6aAEGo5Oz5wTEIvDvXDoc+djoDanE3BNG8xwEnDcRmteazV/+YCL0P6ydHvwnO
sDaRHbC3Ddk0vCyUruojr/ybisfvGHkPyiCfkOljRyrYvT75HdrQL0RV3/UJzpnw1z1aO6hYipNf
v4OmR+ztYxki/jlKmsM2rg/GgVvSGEI4O3CfXgY027LJ0ocmbY7OM/d8WNB6sdu3mv0bzmM88ay7
XLcv2qG8RjuK0zCslw29+5BbFQGfQ/zdDx4O5BAjjn+Ih2Md0PbQpgZpOSs1j5683t7N7bIbpwqD
EDdlJKufGuWkIWD7MCBPOEvpyJYWjFkal2wO36UOTpsBosdqfhi0B93cfjTVhA6luudoqTbdciuu
RzZ4AU7zWgEQ4kibHjVnHzQnnOf0nkNoQ7k1+7QzD/OESornpzdLkHCcMrH9CQJlDjj8ZkPMLQCv
9Cg6PSkwsgkOdGpT8dQSGB6erg7xCP1A+FPE/N2CXgCqGnAP+I/Y1O0oZZ2rqeJFH7ZpxqYOCrz6
4wL0YOueP0xjhVunAp0W/to8453EqOBJMCSaUwdmcA6x7vBtJ3E4WyEWtGH9KchCh9br9QAjAYAl
aNmrbZcZw5Y6zGabjrIaT0HTv/iYIBtXPVY4Lq6t6rAcwx5TdTDsxhqnOlmkOzBFSWrUNQ3Httbp
/8XemSw3jmRr+olQhtmBLWdKFClSY8QGJikkwDEDDjiGp+8P2ZV2u6rttllt2+4iV2mKCHGAH/+H
70wblJ1DbYerNG6/2qag4BiDoppEXaIrUMWQDpe5IDTIkVH+Slx3P7tkRBg7ZNCbh6KKMohMHIiw
40iYhXWPGWui74bNsOramqt1oq5mSxfGb6j2THm9lZnBjyemWKmxUWQ5xSfDzcEZeyo70oe5JKnn
tg6uuI9ibXObDuOQF53onXDiT7uV8zoe9PtkzGe/4F4+x1yaffPaJhQLy7Y/Sx/aXUr0Vvc/Vegd
pkRfSLCeeJEfDJcPpjvAFQmqcxVGLzgO9ToT0y+vpzA01+Yfu3N2g6U+U4dXRGGldjmRIgJ8TR59
EnxczdL/MJvxmjU57dnuq8Sk3Unf5zWahSB5TgbTne2B7wPxbTU+28I5ptb42aV4esB9eGYYw08t
iY1WcnwjlPV7CLzdJFPj6Jdi1fTNCTzNZ1OQpUxqon7thUQmh3vPpaLIFYFl5ccPfQn6qh7urDwv
N10F66hhkDFpGg1Vu6hc19yhfhlMu6rM76egKXD2k3gz5VG1t83s3M+UzDPnS9XVi9WUr11q4o+1
574rTo5DtSowmnxV+EwoaZ/aqzxr9uxGO1extXECf90aebNiTqMs07/QhvpdZuhDY6STtSMjZ6cd
Po6+tpxtUBW7eSD9PgxvIalXcp3Jo66Kx9yaRuqg97M/7H0veyPva5O0TL+sQs/7EabhbkSHA6qS
bHMSuyuwdbCIggZ8WJsvZbmyPdqmYW1ElRx6zDynKPOtajJ/pwd6mjIlMDUWS3FwKC/Czr7MmQbE
5Fbtyg/GY5BUn9Oc/G795j4bimPULtmuorhLa+95Muudw2Nrz+eIG2E1ZGsOkJVy6BmlWWswRDRI
b6azlvDTgCX49YHsdrNNuJyDguk+MNA+2wFFgGSvxfdWG2hV6XOQO58VyVlAP0fF1O53Xfmox2Qz
SIO4jn508nwtsLGF322K4T11rHsG+J1rBjdFuKQ19SFxmXxSfag6klZN5t5bQr36RfIndKdjJpqd
nUU7kIVn3c070HP3/PBlGvnNZqfmn98/AFn6qSOvwUnUOHfDzP2z6L8ifNJV6PaHeSIQodzqJ5Xm
BjVNQ5Ro7rtpOs4ZMaR8BoYwYGzz2IMlSBc2nwe57dLR3lul8TAGI2NWm1DBp2tcu/oQFfVJWOFT
7olbVetxO1CK3Xlzvospk24rufznriNIgCrF1+5LsSXyscn7oH0YS1IcCR4h6R39AqLQ27omAXhw
YR6MTP6lRvWaD9xxpVDrJra2uZde3M7/gUNJftiRz0VQXGw9/qLa2G9i1YK/rAxmznIXTkuEbJZv
5F+e5hD5xe+qddwYNEARBCxqILsAFxMPl1czN+xnks/rKldbFZncRYbqOQ+7W6AkHzmrfOjN6QDO
BwfcytTBdkm1BINzR6+0Ow1N/NiLKLqbwu6BPPXMzFEeqhzRoRfyFgTZk1MMYg1Ok6hiSGaaXFux
ikKfQxp8ke5QLzrqOYP6U4rC2uvUPMO5Wrsqu85VcfGrah9A7PS7Ml1Dtky3bdhinybm2SuLRyex
NQQj8zHufJ6qJl5+5XgPuZUoPnNow35BXH62KpgVpX+xW+iAOpjeG+b4FTeOGe4ADyPRfFEvRpY1
0+/ZxGG2KY2IMP+xddrSyhkeksyBKdT/MjtKKf38IlVxDzNuZUXuWprNndmFT9WYb8gKEk+MTzNO
bk/Ho+v6X+6oG3oZKTMKrZ+4GHduGWzD1CcENrVPZRIsh95mdEqO7MB9zA2+k90gHwOPS0WZvgg+
TeTtKGMq69gm7bmyS7kWFFdpWe8oC6mVwZHvuSvagRKyyXp2s19VMtVr7ik7M7ayjQV6LK5TKltl
+anqWgMlJbaYhd1LXFR7J+dKLLWZHDvPClaFXT2U8Tiu5QC+lLcKrUHtqSiZnLzwAboofZpi+6jp
FcdkgFaIhAusIVqbAqW5CIcPZxQ/1LF418ympCZLqE9l59x2H502wWVv+J1se8DUnSH+JS0v+0Qc
YNdn3rPVjcN20PG7MaHUxIF8rUNNyHCIaYYNPZ+k/hd5tXuaYXKNWLIPU/moVXsBFfrbtqd0E3rm
qSmDDeECRgBXfnh5fvAMdSKTzy8konTjxijkrscrGTmmu8uyVm7kNH4388QhIZ3DbHQXBzCGbBIa
0RoOxojCe6JiWq9nrADTts/C52nqR2T+JpGTiIuij0RKDfQB0IxRd+Ry66TepqZ3hbN4H5tdsGlp
OtNVaoZ9oonglhPqi03mQKbea4PJwCMf10fOrnPXWekTTLNfGuDB2kyrx5TWzoYWybYLg3ode5AU
iFyfettItqZwkl2VON++J29l11/SMn9oWzBiY1A/G9qLmXIjgypNP6yCgG50nCdP1hDtgoovdV3m
iNUqirdche+tmV6MQTf2GBccx5QE9bpE1VkJu0AN73B+OAUcOVywIBEU9B/4BfcDIvsA20eaxk8Q
Dw/SKT8rf1bbZqh8PrrqZBsw1CxbNkRyGNgAnhHxk3wv8snbqrI8lEXWrFyP266isXWuhfFipJy5
jdP8KfzxgW8eyIjUZ0Lq6102W2cFx2+TmxE9tKG545DemwUZa992X2jXf9EX2He80EAQLTiueGK8
JuRfRPvOW/1h9C442BQqT1u/5soVj2FKnduq7gPfPlpxesHnuqvQ5WgM6n6rzeJOR9Guj6rt7Fdw
N03UnVxfq1QResCVdxeGHbSDb7zMldlj1IR+80E3nbPBJsVglF1wyxz8iknSzZ/0HOxGC43IioBx
xArAjt2bb8jRTFVpcGl84AQA3YaVyvQzxmKOGyh52NtOvrY988sywmyTpdSsKmWRzijGaVOlSQ8g
KgveijhXRL8F+SpZfMrEYiJrz9PYXvnXbOJWM9xTxh8NaH3S7wnIRPKmUwfAQvsdh3m2T71y4HCI
MKciqHm4dR+WrM78ufHWIq0XIQGvZvJ7UEZhGRDoS5ZoHxdfXETSfuES+4vmpTW3RAFzj6R6RTqw
V9lWaPU9NnW4nZYAYb9ECcclVFjPJYLoEjRsRcX1qt6YaUJIfaBsWG4Tkomyp5XTElWcwwGuwBJf
FEuQkefeT71EG0fl+Ud/cEOCRwQfVT388pYoZDe493Xnbsn8L3pgcEn66qKLEdFTPQlmZ02qMvor
XpnhLKac1S3Jy9lwX+k9zTunyGiekM6sl5imT16TJwRsgLL+nkhKcRMmj7gkO9mPWG3Jdp+dJfQZ
F1wxCN/+lQYlFuot+dB8SYrKJTMqxwnm9bx2GYwbATKARnmfcJY57l1BR3CuwnU3Pjel+aXrkk+I
QLjjt+Xh6hBO1TK49pJXxoMPQ7sVwA3RdmfnqRRJFjRiveRbU6psLARWm44cSEiFMWR+glq4Un3+
SwUYJbO3tecpIWeO5lxdNdlZnmXHjmGC4hqxWtm1L1PjuOueFGtkJsZW+vkBGMg7yi63BNK5GCqE
tMnrKjfftl7/DeeIiEr/iA/94S4B365PfFyUcJ8u4d+WFLBPGtie7D3BusfR0GAiY01cZokOs5Eg
3eSkiXOZ3UlnmhjUm5uzBI5zksfwYK4DSWQRIOgydYzEhIgpu9NQnxtf8FlhyuzJMs8kcjcGhFye
/+FDQN5Zx4kDEGG8JXXL3dT6KCJcpyUincUNDIR+PYbGtJlJUfdLnLonwGaI5KkT0W0mb+2QuyZ8
dFRLELshkd0s0WztENIel7g2WWpnrw11bZcod0FCoCTbXRvJcSLr7UfmI8w3WF2kwLULxSvm9gGl
NwthFJEVJ0bUkB0nQAlMgjQ5FWn3agQcNmqJmueNHx67kkl7SaEvcXSrT+9sdQzlufXV3UhgPSC4
DlP2VjiYNE4pobOodZHQfRgj4kN8D+npuk50kCVAM7fedjredhSLmQvfEuLxMXBVa5TEtfRmJD4f
zjaYlzX58EMeBn+KINr081dMXstoGXkiuUnpMghoXCFp/MlLD+Vf6fzyxc5cYor5NZt+hqnf0V38
ToV5TMYvzRVoEskpWNL+VpsfMAuvXGBnHFwaATnVACPEHUKr/aFgD1161Feik5z9SSE2aRNgXxCO
Je91ny+tgwjiVbr0ECCgJPRk6CYUS0sB5zHeUPI5Idq6vK6UMbOq6rZmgilQE5bSowdWdEE+93MS
gnDhT6YreCqWhoRauhLJnMmz7F1M+aVJ4SyatzEGfwQlC8dug9Vg+E819Ysc52ZIingd195PRUHD
oqjRLY2NQEeMg/FHqfK7Zul0aMod3tLyCNIFAbs0PyYqINnSBYFF4xERw04Jl6bIjPXWkxskcfFG
PLG/tEurJDcznrRL02T8q3OytE+ipYfSL42UhmpKsnRUDHBB3dJaMQux85Yey1KOyD2+bYB5yVBQ
dlGVutF6zLAi1JWYLjz5PFGrYEqPg6BjzdT5HGGycDefNv+5pvz/awzM4VkPJeK/j4EdPtg1ILt/
U5//+WP/VJ/9f7AmyoRYaQGSQJUghPXPDNiyb9fx+R8sMbK9vzCXf6vPgh3v9PcWDgQbc0TID/2t
Pvv/sEyXth6qjc9+NjgR/wHM0kKu/r9DYC77mG3hmcjgIC7+VX3OEqtr54anVznnErGJibkrfNAC
7loU+YWtEpi+/kRKtuB6toybXK2e845EEl7wmct6jqxMKjequJlBZ8OzbIlwVJ2isG0+GV5b8M2Y
bmJYcE15TpEBzQY69pPR+1RMCKYIh5O0BZnW1o/SpNYrDQs8dFqe3Sacd/VA536Ocjr3gdMc0yZ8
aXLitza3lt4dwUz1eQsoDV+phFuYaBGfQdKL7VQ7NPXmbjW6Ojrp1vWBFXDJ8+zgSi34ZfI5t91S
PYcWrHBn1idSmKa5sZoOL9p9oE4MWBtSzkYH8zGzKw7zgTqI478taazGR0EtF2iTyLNhbQEbI+EP
GzP94fYx7d3J+bGGUG1ALP0gX0DqnLme6aR+HmV6r+UgsSxz/Lu09E+Dq6w1b/ktmCiS07YFy89A
Q5UMrFANTUwmjqSf0MWoW8YiEufpqSGANVMzcPrxpY/Mk8PiB6RNkqN5Wby2Ud/T31D3TlnsIo2q
lgZc7bh/ZWn4BtbkofMkWxqC+BnExK7TYbTKYc2RHMgnsmzedIIU+A5U3NrbVZqfqsiYdmQXwW/k
VOh16+0qsm/wqHAgKUacLTlSnG5oODn9ncf7goDtMsVXKLs2yn9MbapusttcuQ+tbdwCUR3DuoB0
De6AUXm65VYQHTwVn1vmKU2jkDjOLe8J8nQIw+Vy3ya40TJgMz92Mkc0dzH1JpgeZMV9CA0+dK86
vY5V8NwENnn67FTNtPdZE7JTzvQQ91wBgxIoVGjuVT4+Sj5xbuntiphijyygVibPYJl/d87Sxmqs
XT2bf+iTbLWndgsvIhf+25RF+cZtjJUbJ/siwGsMxRI8mR5cSFiczE8whzBxvPnVqNS+dltu8P5R
CHRpmNiHAS+Z9gihkt7fizI+46djaxjF77Qc33OVw2rS0gAxPqiNWYmvLNRfadOMuIPzngUg+1Y4
e5MAEvUUQptVcMFDBJeWy+eaeDNRpPA8DQ1UiHe7cfa03tiwkhZ3ZZ/uqxLu6xDThQlDPNHAbzuU
CLTpWnzwSbg5tZvRNbR+VX16FB05i0S1CB72Rc/ZnyHrd1L3KdCE6KeojBSoYHP1Zmlt9RAf5qZT
hDiZ6jEfmGczdT/6cMrE/IbeM6Ky6x+vfM3AHoG7yBk2oud65CZYJhCX8nK4VO3A2gH3otSCYx3s
ZBtPDetIXGVuIsJbbLx4zYT34vnVsmnFfE1Rbay5OladfsU29ToGKIITbIPB7mZnGaNhb69sEiFA
A8RelZgsHrwUpmxg4JK4ju7RqvoYPa/WBEuVdV8o8Fp5knxLYzzSL7i1MLlZedIE234iqNgwDG1K
P7EfdNkfvDE/Av8i6pJhowdZOvwWVvGsQvg6afKShta3K6YNnLWd7vx6Q8Vx+RKsvFoaGy0sumxu
zu2j6YjO2NjY0Wdbje/ckoh4yd+xax7huHPhdqKNC7VlXWItNGr6HuPiAW7buautlJ4wjJDIegyS
7E0O9XHI0cSI+93q1sF0SJPjYDX+ujLEWyrGzzbxGeste+ewm6SvNWtKijzbObH6HF1xI+FDOXkk
ilmGx1mn3SYLiQKwFISSi4tCWHpNsuCtTlYj3rHuNVxiHi5O6FMTcYfqkBT46qQoGMfTlvc2Ibmw
wHtAItxB2JMrFnwEK3Zr8LLPmd5lEStRXLLFOUmQZEpR9Yb8zH4RxHJpdlsZlfXemrxvRXEAnEv8
TD3FAbSBbTFHtBH4WxARWkAZPsYHtsZqsEV/ow7qf9RhnW46W27iKh0gLFlYoRMUHWkMGz+obpWf
vWSzQN81zVs2E+lJ6uKMPfpYZSnMEP3Ckp7rWM63omqeSgKvc/csI0xX2XYXv472XULSxwoQ2VOL
JodJFx2X/70cxCFOp1svTYotvIVgJmp3H0/2OWiyckuJp9/oMTz6XvsacFbiMihctjTAc0Bx46oh
d848sWyIi2JfEsyT+XKbDVES6ptLpNbTw8Uq+YBUU3t0tSs2QzqcphDJJua+x/CtzjqmV+5X0J2E
ufIWm6Kz6dVmJqNyT7LPV/0zen1w8v0o3AJ6uyUVjT6qnwB1Ft8sdBjANXCbYyeD35kar77JPpq+
3cftsXLVui3c7ax8PtUeCwbqLiexBkMmQ6loLU/ufRW+pEXyhvPIHbxr91YyvkfZMO0SC4SLanhe
inhnFgvgtnGIuBkdscO2eW7a8GrY1hOi+cNo6gst4fLFGMZ6U4jwkk3qi+DGRViUNmmo680g+Eh1
RNbXymu/QyJ+B204v3hsjmsx0K03YQKFhb6YE7X0aqzq/WTb+d4DbjkZwXeyeLeVn3KI5yCGa1B+
DzXRxv2Yje8Nj8o1H04krSjbiVA+wDEl/mYWvDotFajMHjF+ObLTmRexHCjgl28NSTBHOBuN1byh
ALzyRGeu2kGsyCcNOO/00Ci0sPMmuLNb9RI3w2NVZ+egNe7HxH1qOkwQW/q/CDPCGG7fLNpzbI06
x6qnKKyjGgncoxKHX+mlLVD/Ob6OtA/gdzUd+QHRnagkIeQZLPJy5uiTopo4Znm8z6alA09/BlIT
WVrHbJ9SHc33lO/ObTwUW0O1aovFn2yjVpl7U5uXofStY27QwfbMcPl1kUmWove9DWVng7z9QyaI
wpU9bk3i99ZMlAa8Fhcah7+BOuUqXtr5deMD3Bx/GekrldejivSe3hHpUqfGDHKQTya+CjnlwtKi
M7P032n0zQ0fDUlbGY3BCTABKVCuVZudSmOkd1MZmg0Y494o4XQ63uzQtbVuZWg4/O39Nz4KtGC7
eaLgPm+E21FrtcGlD9remzPvIgYkBptlXeOFC5hnMMbdLNnbbBrxBEpek/X7Eo46t/n6kd4vdpUK
7oIs5M+vNc+qKbrPzA1RUfAQfPS6nlunl6YmNgPwRje0gDFBXSX6AR5GISaBXj2FumMpk9bhVmpE
eV0Nv9nwcQF8xhmGaoAweOzphbKH7RI71aVQ3YgMjgxbLXm6AF7ouvAp8fpOu/Hdud6hQqunKWqG
NYpTw1Q3smpNNMHRTn3UyZFiN2AdRf+2YXCY3bu2h7whsM+zonxsayzX3P+t0Def7IakIp6ltDmk
+PYSzOWt1M1Tbee30CzobRWnvLUfVTxuNGrJvZE0B38Ba5jeOux4sdwIH7JxvQbKK1d0L37OooJj
OGFVClul/AYKthDlvI+JScgAWcnP9qYzKXAUnEEJ2Aie9U4TCnR2cXQ9as9hSzIm4jM7J9WX8PuN
HP2WIwmlZUqmp5n5zAlr0KosFGuGObsLDOUcdIu8z2qLPyFTGEl+dII0oPniFqR0jaZ5osDIdhEW
GTWK7WsVIUU3Vhg9eXMaRZCgsjV78tsMb4PexKEgoB63p2ZGom7KYt9FyZ+EelvDRGfoFmY1Ib20
6A6tL19dRLnE7u+TwvzGGl1TAnpwE++FJR+rgC1fzN3mrR3ZApS7J8c1zI3rVrsScLytBR6TGLeO
+O5mrEx2vgyxgvlXbToHIgJzSBRFTAlGyPOky9fAJp+lDim0FDU1vyjZmeV0rrh0rDvRfYY1QkhP
6tiKnR0egVjLOABgOpqIi+MCaMI5iecdD8y7QDJG5+ln3U/2JjUzSCEqyg9TpOi+UZmRXfXbNIDs
DQMUcmdIv8d+ePCC/th06VvI/Wqcw3zTWMxILFgxNiF1bJZ/QIzuRrbmeQ1WXrF4IzMfJg30tSxo
jVOhAXrKR5l71OKhQvmb1EPb1Fg67cXu56NlK0i76qiG4QVt391TmbiVvFNOS+mkLpA/eOyuvbaD
UdA0d2lgwoDQi3pntmtcjA1E3Y5mDC0gkc/PzSL+m0O/93vOXtfh+aWyOxyHJ2vM1ikb8uxMgQ/z
9E6C4acx0a5gbG8m2hOmHe+KWW8d0qVuX9wl00CLqR/0oR8qcTakPBJD2IG1AOBRdexgIcbfiWPv
xhdjTG691bcbS8lLEDrYd5V9aCj8RFN4T8WFxSV1RKQ9AE7j3NcliDS7js5zStunYqeOVy71HG9r
dOrQNJs2GjAKsB1G3XE9YHGOSL7jKiP2NfMrzz39D+vOi5pzyXWKr1cPhWQiSmza9zqVdxw1fyrV
vJWz8dOZML3H8pK6yWftk32qqs84LMpNprxvFjM9WovByHuV8UEsLrJ2XwILvp/3gn/4MhWmRF6A
k982yOe9lz6m0DbWUlkfYB1+F2MZbpGayxcn4dMhEnoNPUaptgjHxwQht3GfrZ26+xj1QAlUmYIC
KEYhNCNaByrAB4smY2OyJYz9IWje0ZQflJRLRuE8uQ2MiGIEixnlYC0H0a0LIsyrYgiSbefWB4At
+1h7BwpAeKG01LCy4Doq8ipaDRebHGraMAYPiA4kTKCIyG2vnO1oj192Z7RbYNsPJg8h22HiA/+w
QKOJOrlcouq2TXdmvaz6KenIuMuOQ3fgIVq0MX+C6n7gpXlrF1au4YNatkjZoYDivikmGuwQuS9b
gnCNNWIvuEPI5VGdm1hsGfs+inT65gza/Y+m1/2TpkVsfyFc/fea3qr/Sj7ab9X923qb//1z/yXq
LYodBrnnLiXN/6Jpef8I6ZD4oQlmy7X+4mz9LeqxhoZiZ0igwRU2UVSUuL9FPRcGl2u7wkMNtIi7
Bv+JqIeu+K+aHqtbUQg9/iGBSXRV/Lum15ew2wNGJQjexgsFT5o7b5Uwt5nm/gDqHA7zmfLEnZe1
zxjUJz6oS5YvvHWRfV+mR6POYO5Ml47Qn9k9+DCHpo4HSA28O77rw/DTQeXOO2dY5eKkqJKJ1KSf
f8iN/A/9EzBR5CRmsK3HvEBazMs0PAbTBFMuxABr+dEnzbqYGfQKta10ogOdxhufSagimx8AruOh
edcu+JWexaTSBrUfkYb0a9aTuN5Ro9fTGi9HiNxthz5OZNaRZIXI0I3Oe8PVjtvQ1vHbo2Ey3RUG
3FfiQUjp7LDqm/7Yy3aD2LlSifla+/HORU4aRkEJw75qx773mP950LwMDJ30yx5yez9kn563Ldhd
wBFCMg5kYEpkpp+QEJNnN3+cCs38xjjmPIVdtS3IksBFiM4xnnTJDNJHK1ew/5BdM0VFveFsi2Sr
56+egwWAYhXv2E4D0cwV2zYbjsasRnNjYuYyRNxxGySYZqYre0mdM5+adn3hQCXDvG7dV/Ykvknt
H1hd+FyVrH6rl70bhPR092hW7Nb53Yf3UmEUlxuru2KrrZRJwg4AlaWHe1yJQ7pcYBrrSWNZeOHv
xLxC8+kzuecmSea1RL8knMBTNyu+g9rduFO4zavoMNnFS8kZgyK274tguHfRB7LgpYRH62Wcgm7M
+8HiNYpf+QObAIAYnIMADH6RBkQlCfXojzy4EjLYp9Nz5pymiDB0XjABvCppk0TSuyD/LaW6tOlM
tpZ3NLceggZhTCIdx3tZuFfU7aMzon72wYkM8WrSVAOTYuOo+JYjHXpWtBvtmbdhTqBeId1mgaRK
A6278D6kTdIQ2k2YkBGOGVh/5WA+I8vjkG/CTVjmLieQoo2RHULAtKn8mkf33vT2cbIBfHgwNSk3
Lv0e3Yhi+IMwu82BOBtVuRNNgnikzoh7dovZWl868LbjcLXaLRMT+Vw5/aAMm9vYnD+EN/+Eecd1
e2ITQF4XryHIej/ZxRnxcOHZZ9ZFEYu4s/UPfo86uvWbgKQadx+Cv9CcnXMGWYFLuzbL5RBK39m8
dM8i1OYIcOOuc3j90sF+StmmsU85DZNsfnTD9p3bNruAquwPlYVF2C4PIvnty/CHaYgRB8CasQtT
RnbtbnvP+m04+pH0vF6bs/cagIm9hNn0YlhSXBEC2DesrYQDzTlOKjr+zxH19xFlAyj/fxYeXtuP
8uv731ynf/7UPw8o8Q+OJ4/OA+UvNiS5/wU7h+lIvf1f/s/fBxRWlembQnjC83G+QooKfx9Q3vJT
NsvYKAfQeKAO8R+4ThyH/3pAmX95TTARsMVM/rpg+f//594/9lBV6KcxmRODfTJuFN45JLmXhMPw
nHbgvg1TxXR92m+rsq8E7Fq5dVUrocg2LrmistukLta85HK27qpW7vIJFvcQksgZB3GNEFtwnZ11
RvKEJZnse0lbEUMHR7XpPE9TgyT2hJNrrmtfH6fQOTW4KuQiDPuh7dSF7MBTlmhm9I7VUZMJBkr0
vxqJ/+N3dbOO25KdFIHi/knRU9N3WysJHsfFEyC71R2Q5DgeZfqQt/Uvr+SmglLA3NqLx3YY8n3L
ZjJWMAEyJurgBsjlmd3SfhXNuIe5vPYnwses3StItbPkUn5Kre9dYXzXbncNuop4QHtyfKvbscBt
uBVRx25S29DHIGUnceGkV7y99gE4NGa/9dIayK1uuXBz6xspavec2Pm3kyU5VzcbFJx3Z+SSoCR1
rn1a9d5lmBV5PPpXI0gf/LQXkAanECOlLmG7ZAJBZ2rJ3+Vxd1/F1IyX49MhqiUagl7mED82MQHF
pDc+fSGKo6ynh3lAuKw8DlRFxKcj3kK4wSoOrs96t6rP64dwGvpb50dggll03rFClqo861rbFryW
QxN63bjq1YiGeDNCN5Zj88OU9kDe++z73B48bm/KbPYp2IQWMLabGl8iAYmYO+JQDzYXNkBbRisJ
vjcPqh1vNpzNlefxEQmthGo20HYInve5mz6TJ3o3h3ZXDhZmIGKqctUhCoV/8+L5W7v+AyPidAsI
3+3ZvXxhVx/FuO5pri3Jr5Md03Cqr9xqtlQUtgmfTF6O7DiW4zl0u5Pmnt3bx1GUNyntYkWD6RZl
4VXoqNsmYfgW9vXeaXjjrCIReAVmS0iyzFlNO6qXDKQb54s0EEnkKdaEKUajWPzZEDWlRXaAp3OY
eEKvupTtHJB0IEvMv2ae5p7dfcez4F5hw5qLh6uaEh/Igr7rTK12JQs81k7MVWoMMjYEes0f1tpr
XiXXfg59eUGtP1gx6n8GB39FUBvpfRhCvMHorKX3JzX6+6aK2TgQftkRf86SJ1XBeMYPQ+UhJM8c
SpSabl7NOtvsqV78taQy//SNv3doEZIUelE2CLOp8/7ABntn7dq+CX5qFC6KiIUFlCHegSLbjYIA
vJNyqHtz/elEJYn1ceKenyXnIUOtpPFSR227Df3Uw3og41PmcOUmOOhxzOZCTEiyok31ZrnVWafW
D7nTnz6y905p3M0jvge4199eKw79uIyqdvQiO+c6LYbM6BHMRFztj0uVpzBC5lNsXaDIKOFLt9tS
xmF0GKQZEt6H2aBxBGozCg6uY+V3ZUGfCaIFH/7CeDA9/KzSxAakTrHQ6HcB65dgXhH9FPT7SxCZ
NfyUvB3uRW6eggopTLk3N2hetT8+CgKHp0qgo/W6evPdADWrbF7NEkmi65w3pyvtrSUlBgY5PF+N
nwG5vpU3TsR/XTz0eYQvb0fen2JwMlq6MITGliqkpGdk1cmmnSM0JXbksjL4V+b2Vy/H1gHA2O/z
1tmw4WZPthEhzZXXLhIdzdKSWTAaXvIKJH7luT8e/PRdzpViLRLLAGWJM8jjYaUM72AbhN5FEpBL
MuTNgrCw41HBrL7k2AA89lVwLcP8xSn9fZtU/Yqb0Cc9z0XsU9cgyD+zAo3SbdAAUUd7bifhU+2J
4YiJvx/keJGjoACeA1j1m/bVzKqjzrKF0aKPuWOrbVrNr0FSxyTgCKJjyxO8RYHJ7fx/sXcmy7Fb
a3Z+FYfnUOyNbgOOqIGzTyaTTPaHnCDYHfR9swFM/Rh+HQ/qseqDrnRLuo5bEfKsKjzRQBLJZBIJ
7P9fa32LNK9zQ/EFZ3gnukLTCzcSMo2ayrskcr9J47jrwMSLP87qWeGMBg3TfFHPeaR+t9zFnk8W
hSXjDkwJe2zPew6rAE2uHZF7RHAfCQfCeQdS1hvzHV2b2LYUOpo1BHcAYXHBmtE9u3WxyvPcpNcO
K0/PlT0ZwxOnbmdn04KDQTbZ52NWsTQgMtREIM7oQWIONI+1bZuvg3QPpA2LUyQEDsncvU5T9e5q
kG6VHmgU6VjnVTQgGQ5bpW7ut9iQoVmSumGx+NIF4yIU2rdZGn9xBGTkAq2xlgOF8LZwGR8EGN8q
gwEIQMUgczPSyUcROet6juDoWG9GwkTFj6CQfXGY1qwWe9xcXUtevGuBq7VMk4QJ1Ow/z6xut5U1
KZY8Nn6UPvxhjemzO/eXNu1OkV18Oe3wXfYEm6C5nlv+pkWG8xmIzbVwupSdL4pQV2kOzrn9Hhji
XYkhQk+fQIHwUzLfPTSmf6Y6xsIbosGgt+Sta+o4zv2iQOWCokpTGyDgbBpX2r2fHrMSxFlzIyGo
MwSVLIqzRdfmOJO75UdLc/RKJt4DQNEJvzP0mK6N8dh7Lio6/5M1Nt9e0ZJfKucbC3PAprCznkcL
bgMi+sPBUiX25rR+opkaE/YADbZ7l9VpxIm2nSzupKk95fDJqlugQ7s25S6JOW4/KPeDEtNw49ei
3wd+Bkqk4fE9YFfl+b42DaIWcI7YUwb9B5XMQAXFjtKWvTTsY6/kbZeyn4vchKctzooxae8sAXMg
hY8mIw5Ss4qegm5+9tG9AG9gpJGYFzGjFy5IPT2V5AEa+ZYV2R4wrrnLY4fqNuO2j1V13SEprl1H
3OWTfhsnsDpTlt+YbVlsoqF9tyr+ul5HAoxaU2Un9NySJFVgN+IhPFBEs06c6WYSrCn1/FhiJBH+
hOrvvfph+WIG9X2hQm+DNGkjJmPXod11xTJv75XFsAt5JZkmP15pPll9m99BocETUszbqUZE6B39
ALMpup3ksqtPQFLYuc/KQafkV4yKChREddSTpVPCFd6h8uytWURyq3T/MxHRq4Pp4jq2nEMVJjXr
PX0TTs57GnX92SMH745XLruN2ux+GH1LXia8B53L481yuNHMMT3wAZGPpFBgJKVh7jrOS8d8GGvC
SbzDs0z0piqBIwiZmR+1PdyUtR1uS4q1bn3OUERfw0/q+pYDGKRwp+XKsOYHWw+nWAwv9lJpGiPH
1nZ6L4wh37qw5dIAlt7sJ+YtgJjqKpXhg6SCbxUtqRx2t+sQWxdL7xIElzvfUFE+kh70UT2ctGqw
YHXu/0NI/b+qodAGkctQ9R8sH5v/87/i7B8mu9++6rfJzvtFUlTlsGB0hGfRGPV3P6H6RbguKDem
M0rOf90v/j7ZwZRD6AXkL6RU0lOMg79PdjRc0dPmEXujGQD7319iyrHP/PNkx3dwhIN30SK4IiV2
tT9Pdr0M9ATANVhb4HsJRwtzfiyyGFokLarNx1Snp8EwsgeJ22Xfzn5702e5hc8P0E8vK63Xk4ix
Y41hf7A7/YQ5EZebOdmHuQxIRrIZx1IGjWldVuNLlzdUJsG5u+vgJdWbloQFLTiMgBOGYtS1K1lj
0W57+4nYyFnb403UFcdhHp+A6+JUAXd1ke3UnIEWb0pmn50zsIBPpHF0JgpRHI7nWdZ8GaLHooHy
oSDsraK6S9eA0U0wK7wmPvzBFKhVx6mSOiYE2Rrx5MMNkQOTEZevNwIsTZp8ONfKGmIsS1C960aq
h7GOulOdxpgcHe8A0fG+MaIlLOQ9VAtLhkcigStakgoe3AIQALqTSPZtS1uNcg1j16MgJh0zcG1s
A3J3VRDcUnPCIcixAP27zQHzV3Fbj9WxMaD/lA35QQM/2crXItqlHcc25bbdTnk2B0yTc7e/wcpl
broxGVcJCWT2XTmlCXPRb6lrz/Y+VrAwgJpBGu5h4PX72vloFC4Hf4oHIJf1KfKSbK80ce3G0ubG
h/K0wVG6T3vKc7vqqZlhEsz64DV+/uhksY+TgDkCkW3aFKI/EMu6pXSmWjtu32/NTHwVYfzTMXjv
symo9lw3kG3QsaPptjGlcRnz9taAVdAJ6AmmC525LCFguSp9YUCyX0gmE7/IGnTntumPLuYKWk1c
DmC9R2IHswz9zD2pRdR9xtOQJMScbzOFHamTcl+E3sDbz6rSTOz8Jq5tOHJepMWekpXhmxiUeTac
2KcVBzGRzd2DSqvi1ATCRs4N72Uc1lseZT9VMoornYRnk9wYH6B9tWxJEz+4TjWecgzaq6pRP80Z
4q90maryitmEjB3HKGhK+9gYvC3wAupHuza/z+iuBhrP34KVT83SlXB+UDYmbLA0XlMluXKN7MMI
K9b5DQcDI3HXDMLrDA9gPbuMB0gYFFsMe67917F3HthjUGUNx3HtjvoGgNtbWwTxmr3KixiydpPh
Wt1b4XCr2vQBQ5XJyWO8BFV7GZ3pR+umTG9pc6uJhGycJLtkBInpjrwIrF+8zdW69r1uA2tqJSZy
B5EBiwsUyspybIN0X74r+3xpoUim+uyM5svYchR0+X1Nn/VtRii3SAp++0Fd8qQiJu5cQYOerkqZ
YP30qpvOKt6drI62XiUw3NbUieTFJw/pr4AF6saVBlafEL8ltQs+b4jzg2EX5dfz92lsjaSZ2msL
fZaWCMTFCN7kXLI1BrPdb9rcfdRO/t33GBEMk5KnK4m8COKGJZXhl9/BsrUKp0idMRInF5FG/bFU
w/WYgibPjRiVkJgGY8WK6Az5By/aJZ53QVPfzvNkHKTgcOzGIZXwQ87iJwWQ0dY2YLTCL6+RG7YN
rgqdU0rPignik1ZsbAsw9FJm1tkltrgeBNk2v4Zn3HLEW+H2AgXQTLyT7o2OAPp7bRRtqNsoT3iy
qrvRGdQZI8D84Ci7Yl0ePJGxDfcNLFlwg2GyoyFAsvWopzUZCqKyiUsCRT3IbFhCqybHhmrAPgMO
wdyUQrHzaWKbVZhwZVaDlE8X5fxdMqrj9cIis4RAos5O4O573TWToXE/pQ5gRthuwsmPwhpWLrLv
ejbF7VxQsxaW/qknp73yUuNzLFP3pGDdHbm9vRRLIGmsmYtAN4K2KlVar4tWEUHK5lcsO19eSH10
7OyY8Alnqa+kw3el0vARr/S2asH/qTR4ZSC6p1bK3JliqsnAyJPnD69Tb9Lz3qT2A4VrqExFO6Ju
1cyyeTwYp6ixX6Z2isEd81wKWxerOVlq7OA5kbt8Mr6DOsge06wePrKp7C4hF34Yi097LlOMWMXF
4CZb29bzVCH22ijByhk5f5PKys4smr4wTlTUb8QnU4bPbYW3I+QFm85kb8q809eCHCwbLT7tejQ2
GtHOMA3r2u/og/n/K/ffV+42nvX/UBVek3Po3ot//d//eDb72xf+/WwGSHdB+vpcV77Dd/wt6qF+
MZVl255vI8zKX/Mcvx/NSIEIyWKPc5trsg5Hy/39aGb9oiysKcKSLqwOKf7S0UwuNaZ/xP2ay8+m
6okcClmUJV7y56NZbM2+Nc02FRjtMD5gcsUVLiw04F0bdvRTulgiwXZjJBPuAwvmdUCbAYDWfG7Y
go3eqQ0SLMZmAUlG2OF9AJ/I5RkZN/emjtp7UZfTyegMZzu1+EXCttATfLLUfuHQYVQbnULgtuvO
/6qyrBrWva5z/6xz3dunxnp26rAat2ZYWtVTQZPH5Pr1NflcdiBGXqbeqmv7uDqQKcCkbcxF+9C5
/btNj/CH7xjsPquW579MwneoLuyLGuMr72Mj3fgcpMCO+dl0sNzJob+5yqs9wPHgEPn17K0q6Xk4
uQCNqYga0R7l790ZkRDp851/9nhJDaq7EYsz6tSeynDWD6llE/Jj3bos4yT3kxSo6CNej/Ce0Yr4
Sz1puoxIStfXETZU3LV+Vj1NBlFDIaCNrEiuT7jZSz0+EqHJ4q0TWJpHGNAIE6NZOJY7E5/7bRc1
i28cE8rO6jIKXGYr4G8zhiwr9phOmm4dDwD5iHb6Adn/0fJYPbUmPZOhoIGJyHY4s6cYPP1pmLzi
nZGVKQ4VJ0P1HTuOjZ4fT1sTUxaB4X5xStpmSYqxtgnHc+sfsq3dLY8j2eIyXeswibARNsKgonAg
xzGwFcBi0Pki4MCQxdN6GDvwBlPixe4+ySsh1mVb1MSAsBwCjFMtoGEU8ga6Thu++WnMvT7tm57E
nzOn8k5g/VoXnUq9cyIKF28CBsH4b/ezz/F/hN/l5W+c6/9WkDwtY5r6/uW/m8v1/gf8NZ8HHjke
+hMdMoJ+RT6ufxShPD3NncSGs2nD9txV+WPhAuPhkg8PpGxw86e7UJbZRrV0uSY6J9RIgd+qxV+2
SUezWwGI/Vm77OBrYIOy/8rJOq5GExEYY8YFPUAxVkDtK0WDS9DCBPXX78j/+XhuiyOFW9M/H4Jv
s+7P3pvfvuK3myw3TI/0MNk5U0nbWwbq3+6yFv8FJhu+Fx97CwPOv+Pc7F98gQwK6dyVjKjLC/j3
uyxiJzh1abo+M5Hp/BVpUy336z9fVQzSivs2Oqrge6p/uMtKDJFj5Tj4212MEpummJhIllLPKwBO
aqfZaq3zkMTdqumGe4WkgysxJlXh0MW5MIXHxW9vKCk/nAKXpd0s2IS5c8SWVkh347iLkBeZbnYm
bNV/i4z48ayjryFPu6NhD9axwFZ/qmfbfZjkALPGSWcCMKZ5xI0BK7qO2EQHYtjGNsmYwSvBebiT
C/Mmnq4m1T6xPnzxvf6ZdPutyJpNpMSLqP2I5Ep0YBMLJQd8Y1ICnoYERqOBdB4tL/iExgFmN4q/
e4QAhKr+Pe/FlfTNU1cVW5UzBFJG8hgMmIcSzNHsywFY83m7MnMfzgYWA4igeP+7AalN1M5dG3uP
0Vz8KFVV31nlcFv00Sb3YrE30xS1CQzydg6hL9EUQhIFzMKhZQgeI9C4wErAfFrgErIhG866dw/z
nFTbkNrNPTeUeQMI+3bAOLPuNJ/rsAcnFCTquUqLO7j4K+XfwcTZao3aKxv5nrXgNPTCj+HeXFkE
DMA67ZoO85BXpFSsOB8zBFkwwvUrxb2vaBjrcMqviwZfje+R454GHVyFY//smWhjLB8zJ123ufeg
vWYZpKr7JI3wVxTxJS+nhCW+z+yFtPA2pJTA4JciINWYDaiZunAvZuDnJ9HJZ7IG+ZqjBRda4vc3
dQ2j2se/XqwarwiJmzvHxISRENplhPWyfRHaclg6ItYSkA6jm2Bm/eGVXbnBq/8achTAFCWPUMiL
TWBCxq9nBl6XRXwQgE1jwvE43loNC37jWLb+HTVONw1EhdVItyxmJ/2UZ1Sz8XF8FrlI310ztQ4s
ikFwADHXWLjdwf5wUptOrGi4D6Q8ZMF4qdyR1rjpSF0ZaI8Zyi3tzo1DgCWR9Zvjgaxo8vHBchjh
lxIdXtZV5EbXXC932nbGT89Dw6kURSSZOBqLrBEKGOvFPJJcQEYIqvhSTqSzddWvAZdd1XPw7Wvq
vFN+5Tk/RKN7O9LIRhcrLdNsymHuMkMZxLOii2s4381MALQU3jUI0+J2tJkHFIk/qsi8PQMP/OUh
e7QTVM80PdYG+kelnDdGzIMxE8hiBpE6xmGATlLX/lej5p8WI2lbRT4fQ9xVduOtsWOB+WFU5JHf
8J4Gd2wsVqnKX0zTn3CzcxixDLC2gfB/VfWvxri8HnV/FevmBBbjmqGKK5gIXF+rg73oUiJNN0bG
5KeNWxtWsYeP3aqMrfTrl94Yn+yBTz4NDaSYsddGut6VrZOsC7ezflQVhxmt7ZvY8C5qau+tobnX
YfiIqERluR/DLehrtgkFF+nkPZXsqHRSP6SV3plg8OE/HfwF/Z4MJG7juKPYyshIuUEfB0q9032L
Ql5a2+W4eNP31mNYZc22K+ShGn0SYnl/40bVLkkksA//1Rt9EH9Fcl06TNChdYXPYl1hvUMnv0pC
YV8ZWkIycuR92S5wQNHvNMUHMlzXFahrr77Xw/BWzhRjFTA7wrIl61AEq7monzr1rAMkzjIhXDR+
9NBTLIqQumrYSdke3UVVrfUpp3y0sKqzRG6dRQFav9nnrd6WkXMbzcZt7mCQyDPnUkx4G80QiMow
E17xohOowhATvH2wk/7MmudIK/tj7X5rskurjCKe3VzA4LZC99Yq2ovs8r0BZF+KeKPCAWiUxdFR
Fwk7Ip++Qte3AK3ActLoCabbQAiID94IOMPiTA4RQ84voVsAHvamtTPGL5Q43wGy+wQ4fpfU06tW
+rUdkm2cz+nWGefn3MpGFhrdA8wxiozqmFk5e9eVxSFQ5xeOuERSFNdRI6hcnb/msX1Ie1J3C3Bv
gobVzQVc8DS4NfUCFyJmaA/jvq1BxtdK3fHWcDPuvuEl3YYeFcvVGH8nFSx8dPmY1mTq6vyNa9Mb
2lt4Rzk3krXhDhpggFkAEo91ZQPkMFx5iZWm3pkYAndjqEhcXLTL+ejVHVp6wzQQkexoePsSj/Fi
Wbu04QDEpcMggUm7Ae6UVv2+tPmXNNYf2rq77pMArbvauwbbUVZsc+yfuc1dcTEeaD1fVaK6LqZ8
Rxsb1VdIk5kNnaMpWJCQ+YWAeQmmEribfuqLqj0FoeHfkCrut6rFwQqIebxWcw3ghYo8fytJjW/H
hKVCi2d241gKW2dTtzepsyy8NCaATSHD6W6cei77HLPP4l93cgGJncCVSTmrLu8q2SJOIygeIkXO
sHkfzezFYVn4oobuWhrTNozQirkjTQB4tGn/HJrgKZjfWepeRd1PQ1d4NOKQoFGEONfPw6vU7q1D
SOoIWzWhRRa2ajzBvWYcqTdQsD/BkL0F6PNEJCN4Iy0UfUjMQMJAwMDwLK9NfW8kEN3TXHIBz9a0
bWPrO5TgQauw+o6a8YYHYLMSU8r+L9d34/IoHPPZBKLDVJQ69aVktadGc0ealBKzyCLTZQbnhCXT
Kqc3IbXaD8FunDmIyL9TvWkT1pYM4NMXRUZjgUGOozEz96flZj+9GKBfYrhP3C2RI5tsZ8iq4QRi
J8h+XBf50iJo+O8TG+Mobk+wg+mnyODz1zGfryKeKS1cyku0+xg0joPyLORX5DqgrHpU0MnXWxuU
IS2KP4BJcaLBaUw6JCDn3ADszzkzsPMVIzrlXMQfZkBaLQ/dERZCkl7LOGXJoyYAL3Z4KJtQHKnU
4xkUuwvJRYR7XaF5CBRqynwJLJCPbq8Apl93CcXnnuKpIcKy+iFCd9oDrrzt5eJoSuF9F27oX2zV
EyrPb8YBS5ZGqrYtxHvajjMHkImXzHuzQ8LwovZkRhlFPHLjzd0DcZJ7Lxovwii8w+ikGUtA5X6D
yITjVZfnebLTJwPN/Hou3WcvwZQRleXNFLKFpWbme3Tna8euI71vugqH2TJpewUJNFkPVPIWdBw6
aXiZMcuux7Kd1pyJQCJxcewVvfKwUcP9OMeo3tkHkMzDXOl1aHKyUnn0WUXKv0m6YMth0uQfEDYh
oMLVywN3g9O9PMXcntdtOMNE9RCG3hQy02oqBOQhCB8EZKdxAAjgnNJiWWqkLILtfTkxYkcs9FWn
qn0ee80pT2R/snzzCXR/dZos/RlGoYvMb1DBOE+4+HoxFndGyT7PbRzCvWqeXqhxS5Ax4P2lEMLu
Zl8h0HByu/KtvKFuY/kRmS/PKXjHq6ls6ufEs7ZkftagBn62EBNxYiXOcCdx+Dp5ovbw6SkeYu/p
HwLwSnd/fbL8ryrCsgGzGNr++fx5/o6+v2J2ffE/jKF/+8LfxlDrF9txhEVtOjGQZbn39zHU/EWw
sOO/eMijyLSYW39f9lH7JYXCd+qSTuTZ/KcIyBLZIBpvuSwP6Qb7S2Oo83+Pofx0lx/j2i43KG9Z
Bv7BYdvLwSO47ZB29ohxwtPm9lhZ0dPAqu69yOeAKwidEBt68wN+RA3xShS7Sg1kkAT3kUo3Jv5N
e/rhmhmCXtjIo2UDyhjBAF5n82BsKNTzVjb3iY9BNh8Yeb5wfg9niLYYDoNQreK6K14bJtW3uRvx
+5WkBLUdkZ3yYPOWrK2pWG9JcorwanYaOgb0m5144JYt/yWcCmOfuIoTi6wcYG7jdBSFM6BHjQFA
E7e/68pKHJf10qrzak1o0DsWqiJ/MVSXvkK9tTXMjla9aaPcVDBkomR+nms8mugOFEkL+2AkLR9b
fKQFEhtQcbaFVUU7gso+Fb3okFEdzakA+5VRmcaXitW71/v5JuezvIWIFYAWzNINft2Jfl6YIgl0
yy2TGEUDmnKMEHA44fAPuFjGBm7xWeaKxRjHWsu5B08M0FVO0z5M83Od8H1dt7lTifcDZB3ps3Ig
GzEG1hY6RbpNLPODY2RCQIRIXAIOk7UANCzXic4TZFlylh8pdxEy5QJscYRYIBeiC4ULwyEd2SIW
3nxqTapxumbatHiayKC5WDjpTDSqUFwLwM3bqAE8HScfY2F+IiMIDre6vsSVp3booXeER0/pkGfb
2giGbU04uyiCg0lEoewgEnsqC7YR52nK1pz3wKOTKgDE5lrdc1orRJEoRL4wmvssN7gcIuCMaU19
gqEX9iY4aUBn1jYYed0Fc9EuGdsrWIty6d8GhmapfWOkehOB4KlC8FdakIRoFCi5iSAdh+p8G5YQ
YLy4fGJnJ9aguB91WjAwM2PYTNU8CnNjK2IiDqwJOPsrZjmftnq3PHeDu7MkTrUEiayhpseO0FBT
t/2Jj5N5kY1Hz2/c4vekw5EAlZ08RPzZwFW8VPXwyCPrFn8W0MeiunOt/NhKnBAAY1ct1UG5JKpu
d7Cwmbbj5QjdkLHXyabibMdq/qtjclmH5IDywNzOaZ3uFjNlYxOjqMylvIae17K4Jjq+HWf5w0VH
LIwI9nSQX3Sd/LTj6rmB0WgKfTMZzj6YCWTm3vyj6FmWlNR/lgG2rp6EI564j5T1wkaZ843krURY
ByvDPWEVjBxbbUPzbve/in+w0syUNSjXCkcsCqwZ4zHXnzofGI2prmrjy4ij7ZwDkMEhcGia7geQ
hjVIsnU0gGU3I7kzW+eelRRXFoeRGYypQzhMYf7MQ/AqVnTOp+iTve8pUhxjq8BPrsowexzQ2TZw
4rqNbZrXrYx37HUBAgx030WdeTF8Rh1JUn6uj5WqXsG6rkU2fSpJ61gXfXsqPRMaurf67hym0zEs
JcLFdMjydgP3c00t1n0k0y9RZrSp2nhLRfbtdQ6bGDpWxwqSTFrxJ/dDeMVqBL+hGTUDmnaKYL6V
KUZt37GPk2Weo8J/9mgh5RbZ7zFJcULk06MSfZwYI8eoAARS9acFxF10CZfEZF3qpvv2pX2IrbpB
ggDiO8M/T+Z3O/M+DQv83dgjxaODFkX7nRrucEOLyBV21yfRg+qjLWfdU/lFBbt5mAn/VjFtew3b
976bSDnTkxa64hbiJmdlN/3BLWvGPWhNK8JpOcClYCNmbvk6m6/NQVKU4JdMtcA4Pf1VNsPTVJdw
3wkJaVjTdRqeXYWEDFr6h8XuTo/4zuK89kCDWk+tVx06KtYb159gSrgbSu96LOEc4/O2/SxcFa0X
9d+3o7tgya4b8sPtjR3b0bs2cF6igNKDXHiL5eA5XA7bcFo39MpeimSwd9U8POjM4bYeGke/hRA2
tN6l9SjyM+FwcpejMpoov1lBitE1tYzcZwfhvvnAefCWVFgxzEvv5vetwcuqoreaqzYGiH9LYJIl
UUkmcDTI2XaZe07scj4s3kgyntC7VfLtMeVuNYCxUvsvHe1c8HIENZTUUreUwphI8cYwhXt4N/zJ
tEn9RfeWBtbPcsY86Oc/3X75cYgn6A4QoOMv4WMH9RxnA8KAtVX4liQwgKJeX3QzPyPOc0oMqYIt
5bIvMAPmVx4GywPKElyKg7awWktUk6J41zO1aw5pDRHheLIHVs0ZUJXRZPxoxw5zMsakHeqkTZwu
m6lC7H5gZEbavskmG7i2f98r/8UexTkd5KtQBSVhtuLAOr7jNc9YgfLT5PjTaybENom3dLC2dji9
ZAOBRsP39uheA6SMAvt3eG7jBc2MVMgu4Au8Mk8GaJWhDVpOxOcldjamzlWv2NeAGUINW9LTLJ8c
Kk9mSbt3jF9V0wfRkAwZfJ4OZaDu6AWD+e5j2DQaIfdZmYkTrtiGMkxs+PVEq3iPlzstgl1HBQeQ
g25T6BBZ3ikLQkUuRW781VeBR4Ujm/Abjxiq8qCaFWiMbF6h7/eNhwPGeIMX8TyZBqRPVnP+aG6k
BQkl6tJDY4yHRlg8cijMtiFhW9zJl7aCjemmD2aaP+iCfV3uUJRclFeiDq5Kozp5qW1fJXVZrHs6
hqtSXBeJexwWO7jqFsNsQUGx9TMTYmdN4bZnUxP7gX895NPZz/NTwr1tMu0bcKlrMujzqrBZWmYD
PYRYOhisQ6qpOvtdDf4PUyMjpuQSw3hAZsvlW5pH13YPizkjgGQPD5nZnirPOzqqfwfwTJOwfyMo
MZgoFkl4YLJTxXRHx30JYfWjL8srAmf3WEQG6LrVk6dteJSUWCogE1AJ2kMHN1Qw8mxCZq+V23Uv
lCscS0HCUjdLcfEQnnTrPA6DW76NIOtXMWcQ0ATNs4nLlk1MjY0bWP66nClpLZzkI8zqT1lnxiOD
PGDtAgSs0n63M0wfwoumvDtucE3PIUAhQHCW2PTLHxsK/keNkrz2Q7M9J2mcrz3f46HlFR/AuCFc
DDLfwTehCNQmEbBr5MDy0LFcnDA5rQ2VHEgnk0GDssezlMj9u4hQKGi/6cWcrLswoarSysRzQPvh
EQSqt83jtHvGe2HsGM2g5RijQlTtyW2awJWsypk3jmHcgUVC3umNV4UgzQAJtcsebSx9MzCUdBbN
qc3BB3mZnUJoaOurZhyfgS3/jLiLyc1YWOww4TPg8i3GT1eJGzJMD1APaj5h1ESavavXFqBjTwzI
O7ldlwcseYBTUpvSNRff5ma0Y6BZTgrrkdE8ujZgj9ImNrx1afSSMIafsTjHG4fP1JYTeHo1khG+
zcAh4Qlesjm191Xhbt8MsST96RufcY7prIb1x5kqnm5SjBCXgO+6QhsycCMlPjZGDnZF3janqYPh
DGA8389TW16703QZWjfbGgBTHUAfWILM+sYvPR4/WVi/YUyQNyqljh1IxcjJN+IKiH1rN1Jt/OYN
BuCMyMroPaMIzs6sfuuXmcF6vQX6k0AyzHsWkSSiz7QAxD+NAAEkG75aYbcvZWuFN5YcCTc3eaUE
D9KsP2ahW38lsR9dBxy4jo0A6ZC6Uf7y18fs/3wCrk2olGn3nw/Q/7N5//rz6Pzbl/w2OptYjj1l
MiWjSak/FnKJX6ABMTPzFJJEG1Hkf5+c3V/QzD2FAkLGDLvyHxzMIBeYpYXnKdtZ7M1/aXL2LMbz
Pwq4RGMdVmu03ki0RtuyFofzHyZnJ0515WPpWDcV9ekEWkxw/ShuTd7LxfJKrtqCrDDaV8NApUzT
Os9ZD9SoaRQBjzLYgwa9InPA/p7KSqJh5Pf9pW04sCQNRa1zJqiDCcJ99QrntgenLkP9qkBC2355
hs/e4QrxbtM2lrvBBzSkk59p0T+xMrhAkuF2hpaENHVj2g3cNHZEevCIqqlyK+j35IEkg2PsO1d1
5D9IQDQA4A55ik4FiRpU52j/6NgBawM4kW8YajPU9VNm6onyz5z7dp6fyemc5r7+oEOpXqlBQQDw
rn2aTdTkXzKIlOu8qy5BP+mVU5egZmryBtp5MXsqBn3ZfDkCNpmLYYfyUp+0+giK06yYXJPoTdjZ
PsSTmOXx3UgmTiL4omQ/JTC+xOwfl+KVtklgEVrGtzJNCpZ9fM19S8GDkVOrTEG18tkl9KohOpUo
3I0wNV2t+P19uTEWTbV3SRraVJR126HgTKh0crG74K0p4o2fe/wNa0Izo9Fd8mT+TkZqsUrqYhuW
ePFofKM934Zp/xlHIWipsryP4uC7HMUlY01pGemtryVc8AXG5SQVJaXmc6RMFGLnpp+Aqhf5yWkG
XO2VufbC/jWWySkf6/ex4djRu1TbROol4pePfUp2/Ln90mxia6vmST4wKxLKyEaJy7r/Nrwg2Jeh
DWiVdL6uoicaC9GpGcArfPMz3RcjwfvEOoIwePEjfXFN52sInWOkJAzJ6WEqmO/53HyZscOFoN9c
P6hXpZdTfTPQ+WGgxBcRx0yvIP4ZzIci1q+TpJs9HDAKReHwTFAnQ6sI4usB7u+MSFOZzJ4VmMEu
I/LH65V++K0tmpl0NSbbIVOnkQoUkI/uiOEsr4+FZR79zHGujEIBbMIMkBoQx1SgyNl1rD7Ld5o4
KkLBuH0Nm860aOkxoNPpe/bss6LgIFmaDsDz1UQTI1xS1CCU0t2Q5zN5eLMkKBzW9Lxzh0knP7Tw
wQialAY0ef5Ttt2TtrS89sHOxiEktBYA3bbzYf1S/sLyPh+4nmAa8At6/nivXfk4dZxbJin2cdJ8
NGEXXlstj0pcW2fTUru5RX6W/X0bwnUYaYd2M6BMJW0lnwWH419/E3K1emtqfNl8Qji/Z/amD378
G3vnsVw5kmXbL0IaNBzTqyW1jAmMDDKgAQfgkNP+tf6wXh5V1VWVZt1mOXxtb5KTDDIYl4D7EXuv
bTACpsCA+5gFOiTdzKeH3JFvg9d/Ll7znU/mIfepdQ2SY5DWl2sw8xvMFXs7Up8J3x04OsSRBHtl
HKME86zp3vKkc2p89iNebOQnKZuDwGXNsqIGd5cnUOpyxidZu2lzGsqsOrq99b6U/qoT/dX1h5Nb
FlSQ8l3WCOJC9+JH9gHz6F7XEgzEvdfYpDryAlQURGOubZfCtHXkisiKYO/YGEOx7Blnjk/Mhz1D
+gx0bJaMemWd4JHs4k0z13uSt16jHgt8LhKE3RX/TH5strS4C33EkkjwSBVczGdvWJ6IdH+uJ/+9
lQyHmrr4cJP5EI5ohDFBQDGh5F47fZIyJCt/Ick/enL5ihSkLR4d9MlI5oK4Iz+KlZ2RbUbXgYkc
Ow6q+goB3XT7O2bDBpplV+JumMgSHpvuyjQN4Vb3ErnhPROwewTilyr0R6QQ9Qkpf7pbauKdwugR
+uS+MOpn2NenacoQgfeQWSuYHWawc31e6LAny2hw5mdb5RHam9ndE13WHANnwnpHxD2kYOx7FofD
RDf1UEO5ssIwW4fQHE+EIMljY0ZPPvUNpfTsbw0rjrek/8l93lYPMmd40PXWBWnObWW2LioOz9zE
2HrJeaV+mVXa7MJ+sNeZU71F7JQInKp5tagPbV7SJiBQJ/ZaLdpJc/LMyp92a702Lfl3WdT+iiLR
bIKADXppkjbZqgq1dzoQa20U4wb8PoxSN8Mdh858O7jyYtR86oyZdmXJoCTrSc2OrmHdMKltrH2X
dCcjqo+tR+ZpZ1/tNH5SJdu8IISdOy12vKniRO1twlGWtH+fpzA9JwB5oH4y2dM8O8vOv3MnfjWx
8yHx8C5z4rTgb03sEFNxcFo2KlygZzFPV1QMRw8tqeknGmfUkHVo9bqbh5Hc+vva15Y6L9wOE4bA
uKELsusnFycx2za/RotptivPIMlJLNrBqWg6gtA6eO0nkTJcxzC1YybW68DCcFiYfXxbJKH/nsLg
ZUbT7tXsmAdJCLrFeb5F0YZSyTWN+6VNMmhLxa4JBnMjCggSA+xhmjYYBfhNKoLXMZK2w3vT2/c+
6Z7bxTPvchakeD5MrCspKN2pjXMsAwEnzADv8bFSnEUFZ8IpRbfKqzmVz70FHGlUloO0Cz9l1SYE
zuM6nMS8kUQN9VA6Nn1G0Fgo2uU5AFK9wgdChF2Kor1y63ezqJ7zHtFuHOufiuGRc9V22b1fdM5O
mAQ29QnBE+OA4qZTNBo8sEfR1W+RqI6dOb7KwmgPKk2fWNERhueqlnkos0DeterBR6p6gs97lCFS
Ur+tXu0yv6kTe2sY5G3I4WAUaA8SBLprF/GSFvPgeXXzAfsYOiPlS3/dRHEJskiKJ9UUmIgHGRwm
QiKhnuIdWey+YWPa2/MLv9/Y30V2mO4c30aSMIYGSRWtneFKGqEa2ZielkJ+TrV5YypEoUOCArgk
xyaW45a+Ao+VTR5OFyefvePsZ4kTvFksOA2sPItJMFY1GZFj5F2YsBAQX8X1N09Gu82JIkFJgxKQ
YTDWmyH55cyY8RthMiRAtLzPPTpjT++8c2pe1oTJq4d0bpU3gCgyhow/gjB6NUgFHEuJ356ATz77
zH6avdD4iL2h/eUw8nibjOBQDUN5aCgSt5Gad60t7Q1xGlQ/wkCskkfuNi8428wcZ4kRgDiykjRk
e7MEJxsoH2kzvf3a16MHKNQHRQB26CODzw5r6aJQhiCpZDHcMU/xoZwS3rEemb6g6FbIO4Z4U2Tt
TVO6xCvF2NEts+bUpRIOYrYKiXqzQvHDUBb6Yi6jm6xsf9YVBGW/RyRhSAv9CtJwxxue1Txl+yGQ
Iwom8iv9bLkuEabUtI4uXjG9pa1WfCc8nt6Sba0mchCqAUw0fXxymaAOHVSdP9aNpdln5fLVhc1b
Q/kHXLjuTlHo3pkQY6x+YN4qboTV7F1vePSSlohUz1+rlMxBm2fE74fXSU7n3KE1NoLUvpZI1VoL
jolhli+m8gKmtajpgwapEA4j9wXwFZkeRErvpshGkdiEGfGzfNYAKoisIsm6xP6GsWDlTwxcOspQ
otIAh7nvGVqtc2R1t0PdqHdhjF/e3P+wOf+ahakR8FJ3iwqN0jFykHt58QyBXZlQG0b/3JDsx2B0
eHJRlwgyOlf4xKLtmPR3Tp1eLaLtaWuyt8nlcLDdxb/NgkGcp9G+xyKfHqayJEzdqQ3WbsS0hP2d
53dfaRAd2jTj7loEvJM5z3eS5Umf2JdFViP2lRoJkQViMxAFKynTfUhxJ/P05j4iDIXHSbJ5r5KM
wbM85su4K2LKd9ruZGX/vsyqu1LUO70W87lijGEAcMIszx83WRd+sMffOIE+g1Ls+RjLAayHgH7c
ADojnB84syGCn4J2f836FrnOQMW+HLoQgl0y2AzjnZ982j9yYbxYNvodeyBJnKRgGqbhl1VAYOXT
mAGlUdiMoRZRxi67xhqLdLVrcrmrOHwwMDnFDqUxV3bd3c+kI6xq5ECgQhrJSYy8tG/SOyFbLG/s
H4i2J5Al6djJkam6zmMIqLVXf4OnwweWdyelYQ22M7yG8Cyu8QgAtZ7yYjd3CGdqgeOLdE+S9IR7
6zdgOg2LkRcmVsLdQjRHOF8hj+dgI0FuM+CRiNRUeEl1FkPfCT7blCJymqMXcgiJj2/Tt78+y/i/
Khlgi+7/rxMPxFD/+R/9n2Yef/uiv888gj+wGwSuaTq+iQTA/Scx0v/DDBAQCN8NgFOGOmn8H0MP
D2+Q7YSEkBP0YtK3/VO1jm3b8WwKIoGC+beS4C8AufAU/WnoAZDL0qZtfhB09TZWo38bekDOSfyu
QU3E1ra8+KN0b+YkSvXmIbp6ZVFz65GxyrYZdxBBkJHDxhCT4bIttR8NX9MKw/eL1efnSDvW8IF/
sVgqrlXaB9lmZujCudiyy3ReqHrZAFd3MXmh6wQz3IiWCAS5usNSMnChNuWTESbxr6oT2Oh0OKlr
YLdYtMeuaZv0qNj+lqwoGQ0A3V0GVEDpb3tetIzuY9MEEdyv+b1hOVDSLd6QaGnvwnF+MMzgvdGO
P29ATo8F0IgnBjNu+KVDo0JMgkKkt4j7vyABvwcLobDeb0Oh1N7CAWwzVzaGw6WXr752IIYRC4sQ
U+Kg3YkJNkVT+xVNFna88LhaCK21sDTCVdmls+j5I77xUMmyv0xRAo46Wi46YmzpTLm3Ncwoqz5q
HJOADUu8k47W5NU55zFkRnLPst9OS6cz5AnLJgJHO3hciCdMtDGzHAAEpm5DtGNSZbtOGzhpWeK9
i6dTxZHcNNrmWURecLXZLt23U1efQ20HnbQxdMYhStrqa6gto602jwptI+21odTT1lLIE84V1ZeJ
PJhtFyeQv3E9cuM6XKkGNYQNxe2itGE119bVasA1NCclFm5tbB0W3zg0eF2NILoDDbYLtBqTNwNR
Kaq1Cn8soa+EvOCYNVvZH4MWVHCi7bSOEQX7qevGJ1dz4gg0Ck+sZOWdrQkUFubMrfMbS9FpQoWp
WRVVRZKqrwzGFWAsNM/C1mQLIL+PgMzlyUk969YkQGEVaBBGSV8gQWMga9i6dozi3Bxe4xBw4jw9
WiWzuCT4RTQmv+ZlCT8jTdyoC48oTZNdjQTH0Xm29anQ2GE/jYZNoqkdZew2u16TPGZVOjtyKvyV
Mvx8A7qUsEPN/ohkSG4AOJBFInLOxjdIZCu0FfbJToLpWhv2Rz8i6tdUET8LDr7mjDiF8SYAj/Q5
WNdGkIsoOnEoNZ3ELDIG9IgXJ00u8X5DTHLNM1k02YSAmuR2AHayNCzRsgaGneagDABRGk1GSTJP
7RJgKaBAhp0NPiWf8dYqVueeZImMuF5b+ZuHCOjKlBnvHTxyCYylAsoys9VDTXLTAv7PgLZQlXG5
uWzZwLnInN1mWwx7F9ALQagfZZNVBJWVN+GCiL1P+h+zO98z7SONT/NijCq8rfhJgH5bO+Iq9rM/
w42BMUPMDyWLDMF/wZ/pmV/JDF8bYBpjMZ5sTaqBELYOgq7Yzll3bxAevQIitek136ZkcS9H55h7
GUh/1BKAcCyAOO2MApeniFs/8NDImjwxcgAj0bDr1EQdlp0x5m33cwC2ozR1Jwe/M4PhKTSPZ9Fk
nlkzerz5XILsacfhyRzBGILycTXTJ2CjflCa80PYC5Jozf7pgACFmga0UA0UA1gpEfNCA/EGeMPt
TqjHDHVAPCrNFbLL8tMq9B/SzCF3qpgoQSFiI0ri1YGS08029Fan3vYFJDHYRYOmGLWaZ+RqshEL
VBhHmnbUgT1KGsFZAQfJAojEkCfZ0G99CFBJnm/O61bTkyzNUbIAKtWarNSZ6oXy4+oaevhazN8p
ECYFjCkAykRd9CKANHWa1tRobhOvHXudOnjxFiS5SbYb7aBCAJb8HGrM7MCfaKFVwJY1oQvaGHP1
XkbmV83geT1N7k+vhqNm9BuPdZTqc87s9j0M83ElZXtcEucmYWJg9RqcE2ePYTZepYnEZUC/Sz/6
6QxEF2YRUL5l7Fhm+rQMTXBXdojByix/6DNyaBqA7B2gqzJkiNeO4FrVg4jUOR2FWCuXnBsfOw8Z
kt0DEq1TnzD1bUZNJABtjN/90+4V9qZhOBWK1j2vXWANRXAIyMSiX3C2DuNtbRza+bza6zine/GJ
O54M+WW6NcIM6Y0EZSChmlqtKYnPWTBeVMtKcilNeYJHceyl9eR7sbe1HLULLXCW2UxcmxqwqKj6
YNeE5/j9jVeHn76EBhtG+AQWx7snUQjZfGO8Nllx6rLlB1BAckiqNxI2nFXjmfvASy5lnJ3Q7zw6
ktQtsyS3a0pn0CN9/Uuw8ljPlgVovt+5Je5+py3AyDFV0UROLoqu3XhevZUs9bf1wERImRnKKV61
DPnNwTGMZyuKCDRIJj4wVx0nIQZgD0Z7apcWadBYzFcAhK9NIHDbu8umCjipO3xYZj48dCPCgcVw
vlqfUSUW2C2Tk4fSTpnnRhpwS79s9OLeifkbIV5/QdXcTNCmU9odvKVwphycZw4ygiw7+XU+7bzF
9HatMI++7oOJ2h2cmJOMEBcvyH+kgnwUA41EnjV3SetcowUD3OLdjWZJn8zZysiJm5YIEgRn0SaR
/kFa47Th91wcq6S5RHgFMrN97OIeV087uasJ8RbJqNMJZka+n9hNG2L+tCvj0FnAWGI/vZYKulVx
Js9gB8kKaAo9IlOBB5uxcxlgLa2H8qkPyIZlik51j0k5ILka0aI+FnaD5PXEQ3OBjYjPehTbLjcJ
NSFaE8sifUc50wtDr15sezPJDAn6Ml4NNd7Xvhy1+gUY2y1oub6H6d+oc66su87lzxEdpu0AyU0Z
h+FmaaruBAKIkHBn/mEE1fMUuM+lBULRdVCxEDRl9JBSfHtA2IKpyKgqsWKaOVxCoKNmccMkMYaE
nTNCUBc1Vs9W1hyy3NgnzgzaOYx3ntF/6IGrlTLBShLymReT2KRekJAi3fizRQGJm44HL+xN55Yq
KD6mnXgN0+67xrF0F9dmue0G/ZgOABuStkE5IZDMhLN7pnW75tgwJXEC62H5UEazLX0ux9ZU/or0
i5ZoqXof18stApP7NsvvZxW8ySVD6paxr8nKtxTEUVaNBiGb/jZXw42x+D8Wyz67eC+dyTrbeX+h
bSu2C664XmW3gWrSc4zyYh2U4Q6Wmdh4mNsvkI9IrR6Go5FlT1ZcQjjP7yyeG6xeIQ6eMForaBkA
EKtD6mrRJohTvp63VzRU4bIveT36TK19PvC4r+W3chdynXIz32EwQqQ5LOG5ol0M52QCyWMTcT92
7s1kNj+iUAX0mD7IWvttdhxbYUicGE5Yvrx3B/w8E+KSfWc7P0pHhXf5QqHIItZ79OG9bpM0R73C
UPEOHcyRmijcEuJxcShu+Ve7QDeVktinndYb3yqLaWga85bR0+CNKsVzlCChWerQ20+tH22GJMHP
Dbr9xvEqZisIHn3T9fYzfojFS4tzjcwqXbt9HhIcq9Rt0+Q5D+oQfxfp6L8z+CtxCSQRccM1FPem
Ltsbam/txFIMtpoyKq8QgbGXsdH8/w3wf/MxNB7sf1v5I9VRbQoew7j5z//o6IX/LAD42zf4ezPs
/YHWHUwYLbH1N7DFPy3cWLcFugC2PHrP/y/NcPAHWD26Zzs0aXx/C+7/YeH2ERT4Dl/IFpN2IbD/
inZe6F78TwoAtKQmqDY6boFt/E9gAGnmlsPJHNB6hj/JmnrHlUFqXGYzBa0mG80MC9eye81qwSC6
vpsHwnjbytgVpgG3Md6kTs8NLKDfquxRICheJXOVsKdPnlo7esmyOvmt3VpCdhBt7fuko0zzwUq6
Q5e/LxztWzIH8OuW0CnH5K6z47Ppkhkwd8ZNnMsjCqqZAAAHVjaSOzSyy4YS8ZQzBDSzFPWcE+8D
0e0C/OSCRiXHM7yOxtSgnS0IDfXOnQssIqt5UXDJ7h1P3DRVjvU5eO+ZdVtdYW3tYFgzgdg7gX92
6qk5gQC8gQGxDZnvRwYq3EXFPxlnIn2PMUHOfYyoPnGBwwtE2wJ1doqsfgeh5thYbHbZObAgaYvj
XEQ5Z6LIUXv6nDCK6Z5Qz+zxwb95uHM7HI/A9LnYSIcnNozNatUUm6mnAB96HVY4OBUQkDjdNsF8
HFV6ZRgRr1KzfsQBcD+H2U9gU8UOlZLFiJSEij5nfWK5P0ICts1wWIdTfRRLf+9mlrNqGc9tm6w0
1ly0UN9MezgGqZNjPWLZbFIVneyaItVjwq04IlPD2Abs2QA1LzSeyTGyEPrbpryNQ9aL2KxgJffG
YZzjYJeo5U4pFW6UQcJrgAGPQSh4Zsxhr4PEjTBOdKhNJetdplIer2JkPT+hUCOuAPlB325nq3QP
VgAHuKSiOjE1qg6hO35i6H5JO8BssvDaGxJhm6eEv/tUuVjZ1RghTndv61Q8s9Z7bcSSsyHH8JB0
/KfQ2nTRy/vEZgNNxelg06VDc5r3NEO0vUT9rgJkxPjSRYSe+fGmN/Ni65fhe5AX0VF2gXGwC1PR
VFJY1+VySsz+kjvLk9sbmDKrhgy68WlerG5XR0Oyj/Ly1ATJVRIxn9fhRxa7pxhSyiqY5nsrtz66
IXgv5m6iqAO1hv8imtHiOz7kZx+/mFmgYulT657Q4vwMF9taeSaVgDCzb2scTAQcZCLy5rbIZ3BE
6CS6psOVEFZMddsmiDU5e0XD4xLhVe0cERNnNNo7WWbbaMi3jmDE5AfdBekcSo72huX0l5Usv9JU
bGeqjxVH1sp3bdIKFWmFbk6JtGSkrTtYVac6vl2EvK/r+dV3onPD9U9mkxIMFFgdLot/v0z9Tavl
b0VDrtQYP8B5WYmSNUPphBjcUHgzYbM+LfSRK8+On5OEYj5txTlKfHdTLsW5E1Z9dKKYXaVqjA15
iiidS/+XHJAkelX0Dc1AA8PnPR9vuGIFdBf3xQVa869lLqgIomtsN/veQRjXT9llsDSANK1eA1kO
Z/YUBbe6Ye2jabmqyXhT8ItXYzetbVUcg8K6YURG2G2ZneVMEWRn1WWOAYhhi6WPY0thUmv38W52
iivYDfWksPYM4MM2TVN9GYrVXByTQtnY4b5jLbABdqPzzfqbrpfxxmOFtmqiUd12pv1aqYKhHT8o
mu41CSkkHk4qo5cfyElriqvMeoIOh+WFDCfCzzKbnFKDpoAy8zBLlAF27P6Kc4Qgo20fRm8Axojs
i4jPEe4pqNpuMd6pOsDW8uwnIdN9S/ddJnwJjBLdqRXxtHcHCBqsx8lz7/jmZSA5NheVXAQiBjex
UTSkuOunRL1nJjLisLLvbWaNmzhOna+8a/obiTdjpWrrsRPuDzwpb7OvvgsrJ6Eg5uCKPOaQNcmm
1FZMuswifB7Jgd9LqHqrnLEqZwEbAS9rDzOSMVY/zaNt9rhVSD09qLq/WyiKCNzlnCeNJtxZvpee
Zpk02yaB6RQ2QDXTqHNX1my2F8TwqHgD7CyTSk5zUTn7cODXDNMXG4IpHlDJx5s5wg/AGURAgLjG
JLhlOScTYhmQexG/7ZndRhSOX0p5b8RN/yIvHDOVxysU6vygMfmZ18lOcgHi73QOcU8f19b9kaec
Ul7ugrr/GkL33Hcz7EJHXFoMvJN0H3OybVt2h4SHDB/TuHzLFGAmyDZv1RrBS9OZZ9kZ1nr2rS9E
sWiFsxE7yMjB10iL7bSbX3kRJzQPEHzTqfsUzE1BHqEs4vn2yC+daavkD6atgDeLW2epHusey1rI
qtnXq/9hKEqc19UzVg+s/sw34uF9URiyFglSGDK5lYGY8801r8ZhnjNgeqTb4VgFhIC3ClXf2By8
MN8Ow6st6ORnf29ODcR1Ax8qWgUzRfLeidUCVFot8wFCM8uu/lURLumYWJjgRG+IiTwlbF23NpBS
EjN50biVYs9FAcXK3ohey7C+laDgKE3sdQF3k91xxKqVAUwBdtz1MDtH+wSIQjQrMBf+AxY/knwX
7O5THfrrTuX2anRIMUvng2KyEFX5Db6WMyGLu9YlfsHPtqWF9EmGTCniW8bKl65vfQ6b8m3Ihm1C
EbJiorarUqD4p8hHBmy20cnzQNc5/mb2iLE226+FuoMoBnihI50teQGrIUp+RE2yaSaXv2ohywfg
ipXIeN35zhsVSbQNnYS71JrWS9j/ImSQZrY+yWw50RkRq0pabGIs6wDTtRinA1onGJXm9MQMA2hj
Vl3Jjfg2cT50SXikT2RdZ007Obj+IeKoQnPEhnhqjY8u926Kvv3VWCjzuuzs9wVxPO57VXEMZuqR
Feyhc7rbMTGOfUz65sKEqu0pJIzlEpLf7k7qUQaM0i35wox2T0LypjXSx1jzxEn/6BEU7vAdXsrU
oHScbv2pTFbF4iVrg6SFzRgQxy35oli1h2r0bwbh3JSGdx4m+4rL48Tw6YIDibDRGtZnWo3fuRLR
CgZCAcs0xoqQw4jxouipLYKe7CNx7KEotCD909LdpSwtawF6JG73GU6f2iIIm9eIgVXwK2JUuoJL
8NxabnTuRytcl9VIt87iIeCLSG06pWk5bavJuzrV9M6G4yGJzYcBuQIajva9mljB41FGXLaMNyP6
qtBODxG/+n4qXhh41Fje1T4dyPme1a+26LcOePkawRi3y7Ihq+NhjvyP0lVrFzUHLmjm9854klX2
JGP/kgHvbRKvWSvDXOfMMdo4vri07rks3lP4/k3iPBmkj61pwaF7ykPSo2JzZzrFfJ0X8+1oOIjq
MkaFwZmo3XQdxMsxo/Jm6pMRK6/Km8XEFZVIS62NYvgWSWAwK8IGivFRacW/ZxzT2uWfpVi/jwQZ
hMWqDZtVFJPS3rHUcsMEeRDSWnuYffAEwT3pDhdR1RJ/SPzL7OwaT3f7GNYhD2u+d+DXQwB4M6Al
+dmA93Xk9+QLeW7b/rGeqIxleiNUpSUkSJRgAKCAYJoTJqzYGRMVyTFMqfste7oViNjGZr6HMUXG
aDreJVG0hmRD57+Ie9fGe5q6ACdzWnmW7VDpRrxnRuNZxyUnuDs0PAAPuO10LOxJxQN+rnAGhBny
/k4ICpkhjFlOpkj56oPSwNiXnjpkQ94y3THrfxkstU9c5KbmuOwLlvfNMVRPuZHf2YoIlsXBVjW8
mD7201alv5KUl3yBklyY7s8lsnd4Bx6U8o95XJFpPXLGTCOQ3cCtWaq0qTxmLWEGXQRQbsiuRuXe
9bb301HdexISddlYw6bkJd1H8OMo/Ox1KbSEZopQOUfhwYNWsB8tioDCCkiw4c4OQvcthZGzcZX5
SRj3c+nCHnByHuZOltc5tu+qIf9hji6qCigvPNwtgd3phkeRfXrv3UfgQuu+um2lBBSTTpKs0Anh
q5U3exlbN74YTgJf06aDMcTiEVmOT2W3iUJ5zwpx2XRFSTyB26Ow1BxP13CYR5rfjruYzzn09b8+
pvh/z3NgB7/5fP+z5+Dpu/iu2/Kj+vcl/N+/7r/nDswHAlCbcNmgqNs09n9Hx5HNGJJw9XcG+m97
wT+W8PwvS2iQm2v9aQfv/IEYVbsSGD7AtAutvzJ2cLWi4F/HDraLpNMH6O4REGnyPf+EThe1kSO8
0hO3bh6RpeTaxUukLjjuTl4AQQABGY0f/uztZlc8yUXN34j6ivt+bCtAbhEHlVfNC4cYxiU/9sMV
eykPu4IiDrgijtzr2PnNkkQ5rQiZ+uqVUok3ZbQlGLWa0KTJuRPP+XQYMiEQcWvsDko97IQoZ+dR
5AfhEyuAP5bTzEaNknWHeLAwtfkbFninPvbxKgN1bh+SyCgvrTsbp7ZuipfBppgcRhWfvTQoth1G
sD2yefMxmZLupY7FqY7csylZE/dTlzB8mLnoPDuErxIH5l6kLVESsWQakDscxMECFE/jcKCQ8bk4
Yj4Cfnjn4vrsw+lQF+IpjNDFWN74EETMLKXQsRILF/bQiBfcD/dtFyP1bJ21jV7PkDAwYwt7ol+w
Xooro3tMK1aRmVe/zTGlSdEP99ZAMEOsqlv2U09WXqNHc6yXrKbytDBy86HQpji5c8a+LNdlBloP
cPs58lOP5bl/hcXwg8UFOD508ytz0CYRk8k5dsMHt2VzPS8e1XNU0eaaRbPmFtvmovzpWLTSWc9M
pJ0fsIzxO02/OE7NZ5WigcaMgjUzdOXKcqKXQWuRiGjgf0wmxClW0MaL1N8zYnfbJ09qDrirfqLy
WCHXup2QMJLhXBdnIkPbQ+SzTasKBPJTF4Bl85jlTxMipCYycIPkDkOEyfoVO8HJLMd0TTrRupyD
N9swjsRecel1ESd/i28ZnjK/KpKKV4iC2Y1mHJPoePNvo4s/YuXtOsbCjH96bw+aj8Rw94moABCF
PvMLuwjuOxY2SdB/BtIHn1KJfZKl2Y3ehnbAx/KuCvc2WLXP2sMSHyEHJ6HL89srDy4qQcnisLJd
+PNZzyY8ceSuAAaNa3QRtAyqW9PGgOhvWvYFeNbDJdtZJUVZXMRPDqPiDzK7P0Lpua+tYGGKXfdO
2Nn94GoNATOZzeCX2EhhhIvR35iyxP8+IAV1/fYishZtxRSH+3F0xLZIkMh6XssVHjwgWqPrzXZ5
mH40NoFOk0n4WGyIlyUba4QQRf4SR8Z8XwS2v3EmG9XF4gyHuRPxjh3pLqZ6Priyf89VcO9kfnFg
mfgZmKa5kal5TBI066501vNSB6+x1gEK274iWs83Y1ene9FkoOhmbku3vjSGvW0c1tZ5jKgwzls+
AWuMcrxwbvTsio4bFu0xE1Gy6Asc0A6rVFjYTdkUCBubmyJMSLSk84Q+cfB8ilD8zIxJyD4SDBfh
pGA9mAimBny/qRtCt21W0kTx3UlqiNwLvY2BIJXosTzDDksmRFrU4cmj3d8IEPqwG8TyWXliOqb8
mKg4BKYPsIEhpMvVjM1lACjIU7xxNJqALaJ9EE4Bchz8IDtq6yFgugi3lgg+zSjs5XQzNnxwcXQc
TFS1RG+LdZ/gcE9D0OxE6VG8Qj1MNP+wBoToCpW88C3fA81IjBILvIfmJhqGASUg8zq5NxzYiqkN
ZTFxnWOjuYsi0whG2TD/LTO4jEmO8mnQrEYM4C+IrstzC8ZxqD0EwLMJ2zGLe8aqtKg/lhK407rQ
FEgXHCRFJKdcXT0MAjwWwbqPvgHqbGNlbv+SQJRM5yo6CQ2ZdOoSFaLqvpH+vVcBVLYRMmWcMGOs
pmRXwKysNbzShmI5QLOcQn5zUDQ+Rl/RhtOAtREq2ay4Lz33xVCY0Jsk/4q9t7bLEFYAzcznZQHK
AEdzXiBqDqA1pyHor0jLPJQtBRU9aI1jC4pz1kxOoemcQ5/bGzuB2GnXoeBNhOKpMwlYXd/GiH3v
Y0CfeeA95dK5l07BWaNZoAQPRmv2SsO5BRRK/lSxNjpqX2OAIkp0x1MFQ23TARjtg+ASM2uW3fTR
IwvaGHH6bRogizngQZk4T0uF9zbV3FIG80wGIZlmWXywGrRIXDKvHV621BxvhQDR2ZivEzBUMM0n
p/Q9IoI0KRUzlbfxND2VfQRQwADrBUh2+6iUQairBW91bjr/kdEjUzLl5lxoDZAefotOubNTWR7A
U9dvgZrRMPdG9SZx3K2SpSuuhhOCujft/jPprLEjhbAMdrXNb1ACCjukES6yqVbcWgG3BPnrGdGx
XgXvj7wNeJEkAK7DdPBuAhramza0y8dOTo2GrTbtuUpU+U4WiHUaywVFVQAp1i/G7iWRbgOVQoQ/
/3ql+X9WEeoIXT3+z/WojtD491LU/duX/L0Udf+wKSnJ+8aX5iEH/ace1P4DwKYmwbsBJSFTvX/q
QYM/GJjaJtBhC4iU968UY2JdNfc4gDplsjfDH/sX9KCss/SO61/g2LhgSSq3Mbw77L/QmP7JBWuH
C5DIoCYvUeNwWN88zJAyVznBq2UintkTPyZ6PuhV5FqWKCoamHE8kVt6LOZfqn8fDPZVAop8G19w
1a04FzaWCh8zszklObkonD1ZV56Nfnk2kWJ4bf9ehO41Hcdr71ftGmL6L8TKMyEU2dbpyu/W9phU
jepn2OLWGXJzM4c9y6JBzG9lal6MIril2IWgWNqwObEQYYQrO3gm3hXlLVKRkpMtznV4txgwHZR3
kIVuBhe6xjwhlkunNqNGNA4eJ5eR17dOl9+7SYje1bopg9LaIyP6Ki08Bu7wX+ydx5LkSJZlf2Wk
14MShUIVZNEb48zNnLMNxCPCA5xzfP0cVFZV51RLt0jta5uRQdzdoHh6373ntqe8jJebJi6FEgzd
qH32Q5RTOii/6yTMn6DYPjJI/dEJYQ6QV3jx4Xby/VNfBfdxKtuLG+mTSYUIN/GkOagI5aArxkNo
5ncOGINVGDC/DsUzZodzzhwBgXxfdqCfcPTh2nOIoSUpZGY7+sU+ZJsZOEyiYSN8EOmJeAiM8NXX
832lOXxoC+Oi86Jh5GwiskcD7bYVuaYq57st8QH4Uj+GSRTsogF2ORDBY2+w31LWiTbMow5ccl51
rVZFKdytaydfdRi9hMu/JqSxW6tRfYi6+DGELNIsXlK7HpGVjaR010lUMEYKlvWRxMZqV9ZhqiuO
caCOQG+kXBJkd0Urdo4J7IdXeIgJI6DDnUHfjuPjSBuQkUNT6pJi5cuJNyad6ojy0FT1t58DcI2r
UCCClW+kZNFatbGdR9JtUcdL3XXoJFSUnapez0+0vENiBaYFI8Y3dgN7o/VkxS+uQWkkOZ4Xx2w5
wtO91Y39usrKnT/QKtfpjcyA/aux2Gpn/qgLVmhqdE9aLVZLqQ9FCTJ3zOMfSuDPyAP1NCy2HGtC
RzLKgS1l9Bn2lHdENCYGvfoZ1khxRBwv85xcGqeASmEcLJX9dAWr22IZmGajP2D+hP3gtu6Oktt5
XTvq2EuTq8KQPwT+eGPrJwGQUj5DYx4Ck8lzt2w5TUs9Ikqj/C22C3D3L0rkP0STnaQ0jra0n1tU
jjnhR5guwkfVlC8aJcQ2eoDQaCPpIpJgllgP4QzxnujUfq55QBZJJV/ElSiksl6G9job/WYPSGPj
Ee1cKTSZHm0mKNR9kKd3lKGKdZ/562KRcdxF0JkWaYeMK56uRe4hxUE+WDwC6dnRF/Wz/kMYEu+5
ML7NRTIy2va1R0PKCI2wyrnNwmFQxYo5s32OfeqbkKAUUlSNJOWP8SnixANPVL7RLHyoFvVKpfOJ
M3RH2fq5W/StPKpOxMoHFtpoX0aIqa4ORvM4Iox1LaJow6IG4AmqmV70Mx8hLV8UNbgW6wiJzRoB
eY2L6Ib4pueZqhnUuCw8WhZU6ZbqCW0QMsHcy3ODhOch5dEpei2R9qiieoLPBwUECHkVzqxHmF0s
5ECoFd8F8qCPTKgpFE4W66KHgOgOSz+mMhaL2UNWSXtZ45CvolygRn6UuYkOiSCpuRWPCJTGolRO
jjwopEvNzXlGyqTHgqJ7tM3aH7+jRe0Ui+6ZIoCaNl9Osmiixjge5aKS9rU+x8imYF0OXHlvgHLW
AUuPCHmVq+pBI7cGDLNr4CLPMUJsiiCrEWYJtF4Ww9kIs6lelNvc6/Ex25c2DJ9LpN3JwN+vEXuz
EYY94m+DCDwiBpeLKqyQhxtk4llVv2NkYzhcNDehI5PwfM3CEMx7chi5u+bddB0W5RlWXrwadPsx
LKq0546PrpaPCrm6QLauwmDc8po62QjawaJsd0137Ret2yp7/zxN4gWTJyVDrfrdLsp4Ybj7HMXA
Kpp9yW/CIQD2XO0YPdc90no+2cdm0dptRHd/Ud9h8OhNzd53gxeUKmZE+nLGQuAuur01FReNkD8g
6OcI+2QxrjCbqaQjGSlHCGcop0HILoDEHjJyx+05YVHgd+G7x+KgXzYIlQfYPAOLFadPk02h1bhI
muUre3VAy/2TzyqCXeFlWHYT2AzWPcuKYQxOiehuzlwfGpYZcWDe4Zz9mKiBDFh2lCw9EpYfcURH
FMuQlBOe7x/7kWLZlHj9sMuW3UnNEqWxJu7t/nfkFHdiuQhkrFtMwC4b150OhjGywGEjU9chHDoP
LL04SVY28QKXZ4XTklHwl53ONFTwWgv7PSvazxrb+SK5QzbopyPtUvWqBBzT9MMhRh8Z/OacYZNx
xHBXQERPety2ptAApUaXbBpdmCMuM9pD+HOzhDtBlm9i8srQFd9YDyOoD+fQqJ4zqLlsdLnIWhnC
a38taxsPZLRK+I8t3cGp5R+NqForFeN6Zyl/yMFfIipy8s/IAPJWqexbpvEb3uGA1nnhUaKJN8Kp
eOosiQchBGpb5MFPF5i0cq07YOISsjM3Bl+9q7iF51Vm97bdP05VyhYX1GElmN8pgOFVt/hOHZcg
eqLu6Qp8qriV9kYN00JxlW5ZFi1eAh+38qqEksfKkRdyaw2857Qbrf0igfJERpQIHa/cO98R9Gil
zrOesnPYgwEU5LTZ+DmB9rfmlN+nXIq2U2pfZmx8azsZn/uxvnmGPAQG/Cq48jSa3PMYoIc5r00c
fUDyXDt2tR+Leav5jXWLMB+mhyFyngLJ9OZXLA8Nsvlxd3FkQarTJjmJZRplikRCskFOb05gR8Hp
NYQDGYd3nY1ZFesq/tLppik9XwuHEHdnV+lV6eHNt/Q2SSYKD4GrdfZzRBrD7O8jOIQ4PCjW8nYi
kh9zjnNhSnnOMpQKn063/iORSb/1CDKFajzzPv4ASHCk4vBEMmcrlPmz76ZTIMh8DCz9NDdHGGfd
yuqpEET1Ow/soldGTjclJlWq4jDPkgotbrYfn3sm1zRN+HizMegmsad/+FgGwa1poqcp6U9eW73J
CORYVqAmTlhhs6jG68tAoDhGfANtshhUfscRzE6JWlyOGPvR0S7OMY+IhvKjbd4bLRVE6I1iyto9
kNl3kALY643uJZjTkzfGLyZ2T67Ah4LC3tw1twU37czxPmUHrNIQUKqy1FnJIPrEuINyS1i9Kd0W
KdX4MKrxxQl9ji+kw7wu3J0zQB5onfoOcuzeV9UxyyhfdEWFSb3j94uOx7Cj9nLNbWbjl+Nnj4zT
QC7upIKShucgGSykaXuX42CdvRCHprjHZYsE4pg4gzv1g1pFDjznKycztor8pF9RwfdYUZ2wrvT0
aYUWom68eHbkGmz3u27nN1aBTJtY0yo97qVgvpOqW9zPzS+4PrtQmDcTrm1QNT88hbMrR4gFc7ob
J+c6DRRcgsXBLOd90jtRbaCzvweZ9zI1xErb4D1peC0Ms+5X7ui9Ilwz2o7iFnn91hHhPjARw9tU
csk32t94T36VtnWdIqSaPuG0xiH3YnUmgIY5/6FzJib+AouLPL5iFXgHqp/OBQZhULj0VowPGLHu
heLDLasTL5VjpYZza/MKghEz01mlb3Rw0QAyQdZEfKGcM56Yv6J3j0K5RiafAYBSTmMP8j5n0JBC
WjBVua0759Gz28fY8vYqsbblEN9qGjgw32x5zX1XhkuuphrKLYQ+ZqchP1GovZaZ+5F2HZis+IWO
Mz4fUXGFcnPWQQwkxCwP2PvhsjbHyUzWtgrCbcamuw7Ts+ytdT5ottjMG808wEaQGzqFt33cUBnY
2bfCZf01hFTYu80RXn62eDl22QgM2PHKZ3TbhlBDu3VHh6TEdO2YWSzB4VNkW5X2PyueuFg689HS
ztZPJhRy9zMb8dV1Xv2lVXqucuVSLQk6qJuov7Pz9sugeg/PG2RYkdu/JM3k4ChSG6em9QRC7yW2
i6unoTTZvbmjMHuXDxn9ZZE4jOCT103JWcD/4prJY5Q5X1mWX7FCfs6ktEOWCWs/Kn+0EVglJcDq
Km/jdK6xEYiOhxSSBD2SMbMgeEgqGy5143nQP+SZyNeywugwEKh1ZOP582x/Nzn4w7AkrqSnXpQ3
o+bLEJ1H699VLAHy0R9gpvl+5AFrO7JKwZD/LL1+nzaM32nE64c7w+D1D3SAuZsujR9FkBPmci8h
rnLsMRs24YuBpdvPTn0AWvOsy5GqmJxmRo7oknu8SInGlAYGE4izvG8owvRr+UF8x95iwMZuzufC
6huSmJH+NEvsNmkL8DntzTunZV9kdO0PZ7mZcdsUFMJBR9lgRz0JB0k4GWHGhbTTOtV88GtxSQ33
OaqWG0l7oVSVscmgWyzpeq54wT2jCS91YnAkyqczPTCkuFLvXsXT6xI1ohH4+NeqymooHv3G+iHT
xdfJB1G0D1j5sF/pXZep70bpaxIpvB8Ty2bHjG5uFt4iBk9smy+6xCHR2217GEy9b8fKw8pa31WT
/RHb7jPtAZ+FG/5QGVY2wwnuDZUeQqc9RGKGB+qOPL2MHZnf8z7lEAYuE1tUhfEB7Mt4Yyv7ZyOc
8FjjPgBP8ApgcNfW0y5qsh+z4WMs9es10h5Ojrw5DhDt5Agc23Ex17Uta5g0N4yVaCmLHfR0c2JQ
uZXNV0CKTcTInkbzYdD+vPG4cawpJ4T7GJqQFI1yhDjIi7Rp+p2aVcMVV34HCZ5fLiGHrMigFAom
Lb+sfzY9q3oy97vQ8sLz7BtUxrnZi17eZL0tNoWKvBP5CDL0JqSt3JgwFA2CJpkxxUVa8akKFI0l
mIAWzEpQ8UYncRfuPEWZKYGCvBH3vdu8BH9tcOI89/ppgxHhISbDuPYX4LLwgt+cJ++zibsPa9Kq
DJuPgFV+r3IikcL8RHw+dRlvWzsg1JTyVdI6gMfRLx6jugFwrQbvQNXDPQfWPq/iW1UmamcmKt5F
bv4WB8nS26xRI+LwZHNHqFpoy8rvr9R0oaAGZEyWCvROPkamf6hm9h61n50EijXX/+beCc33ysrO
A0wFZVobe1b7VtHVwgw0g5FUPxm170Z2K+zjvF9umL/C7mdFgHRQztPX5NTvVc2HsMPKydLNXDe9
AVsVko9jUchCL8Wc5TNDrNg3Q8XQ7tMhBq5k03TWNZ6rnRsSloxqRhAfBTnq2l/MKhlfY/QqMj7n
9PrBk8oWnmaeE0ticRYhzeU1y9CuYSc8+kjrVI+aXOyqC900Nj2qfJJDK/+B4Z57gfF7wOvcO7wn
2/BcDf2voRGUmnY3TLPmSs7twZbZOesJjgoT0LOxJAN9luRH3XFQhZVxLmmv2BZ56q+cAnVLg8UM
yvhJWBNHYMne1ilhKjoDhDxCO8+W7wk2idldXA03R0ePga2/Z8cKd36ztICI1LkArFyFpKvYnjiw
Ik3Co+ROZg4kUnrVR2PC4p7RqpCV+k3ZW/PWbp1Xc46OteKEDvhGr2QxDnTpcCHHv+luypSwjskm
KMnLrV/y6oIM32yiKEI6GcMfUVjCYvEZ2fPcw+8u5dXwuczH5PhSaHsXaauGr5frTO2Yl97tb5Q6
H6oM0+RUiW83GiJa3Ry1I89C3XgQADQD3L6BT8RTaHYXc8gOvYq+opT9YJnT/6TFpZPcAS3f/eya
+ubG0T2Vj/tZoU24sjxLr/uImZXGgVmq8PpuB4jk1WEfhWsxeBftCHCsdp5HY6DBsBaMj5mCUSsH
1hcVFPWZFx1Uffse3/mVdkh2TyRX6dFg9Gz835JIVDMl3KtHVi/wji6k7+n05XZnszOgBfSpwHHN
NjkTq6pp98NSlLx85ItgHPEbZXcNlopVRczzSBkIFV9pAUKsfilz0D/4ZFh45/kPg3JPduAz1gM2
zsM87vKQ7ytP9EdoGsNauA9NBY4dCgEqLj8wtbNTRjbJdxLh4Oo2NJR18bGzzQdJcsB30jdhBptm
iO7/vcn4I9pjUpNmYTH4Xwsxjujs/Z+XGX/6XX9bZ9i0YbgQKC2AFLQvKpYWf3PWwLCQWGc8ABO2
sPHt/9c6Q/0FnCfgXc4IyQj25+pb1iMkfBAY1V/7cu1/iemp9bKt+NM2gx0/GAKhBFK1zbVK84/4
M9OTDvVh8jPKz0EZIbQleg0AkHhqTfa6bqw7XeIpLBFsnBi3JhEkj/sGAm7YheaHQ8doCXqZo209
CmixGbo8Mf/73NbLgiQbNTxp/R0MyaNpq0NuKfFbFW72aRqAZ/SAykRpmFjVQpa7as7OdJB9tC1X
9rxS7nVI5Losuzf83m+RGzE19s5TWUi0ebBCCEfYwwNI5W2f/ShC6mD6hbPn5k/S5mQ1ovqjaWiE
7cCEcjiy6L2m2lKHqaXdj1fDLRm7F+0jLy2r7rpKmReNQ2ere0f1D0FgwE4c8+deFI9ZHT5xYb7N
TX/yO4SQMblFKtyXTYPVcXbWGbXV6OPnyN14tbiD8+evMo3PuAC5tKYqj7s8izGWNEgZRsn6OboL
u6pdF6CnLtE4+JgjtTzUXkaYIXH2rjbiQ0sq83dZe2TJkUBZf0jui7yuiEXDVaeUaOr1i6hBGnOb
wrPBl1F4g/ckXHNeBTELWSz0L5O2f7QpqKfYJIwfW4gLUUsr1NDWGj4OFpF1FfT2eczzSxj6z3xk
2gMtc/W2LNRROiJ5a3kJ9mG5Cvzpt+fTC+bJ+YM+deBmKeOIPd9ZMaYXa+2GXFyLpcbA6IBp4FYI
t27F6MtaZkr3MFEDmmszH4l6aQtgaQD9RJ8JUaWPLIt2uMD2sxGEG7vBQ5F41hvD1j7wStgTBW9r
twCqVjkvI7d8WCkuix3hv2NuOIvMBOQqNEJbdKBjJtrMUNq3Vmdg8nTm+N4kJhBNRUKJielvVOeo
hyTHhi4dlhaSSjB+kJlD1AHNe1b1rdawvkeK9qYgOAHd73jfSeSMNLyRRyiY4hoq4/v5I+/NLc54
ZxVaak8EFUMQZJZak0C3ouxhTG3ASaW7j3hpYCk4mp2xdxr5lnjUe/Q06V6wErTngTanlTuwIgvC
znoktE2mdHQW3MavBMtPnDQ7L0puI6xPrsGIRa0hMdn63VeSpcbKtN1b21q7GgEVtstdHhvbtFTU
+0GCN+RJw+HcgKdVG+lRyKZ74z0hlYqXfARh2G3aUL3MGDho0HB3ER7NgOQYiS9+TBQj2nmBrpa4
t87jE6y7+qbcCVORTclqpOR9bM+fWnYUBsC8skc6GX2T3VmUEOFLS4NUEZqpx11YIobzZQ7dZnKY
HMqRMRXrDUbtwVzZFuSA2moemxm4m5N9pelIIhp66KokiQZ3gUrTMMghXvUuLIc6WaklpJXERAKE
mz/OpUM5waKodWQGe05mAoW9zVW4ZLYMofbSisltO27YuUQZ3qmofijZ5HSDZ9/mecRHh0vwvtQ+
WEVoMROmfK3Ar+TzPXej9m2qjTf6GsQW2HyyUK/WLIQflC63jPWPUGvDb5qSYY4GcMNUgnCaskW1
Krkqi+JZKGOLKsclcUxZP6hwVw8I2qXNGG8TpcFNgaW6vvKvRfMpo5PXdOeZhN1OWtFbxwGHiNys
6Fyu7ghoXcLUry9ZX901JYjveOpYvjZcKpQvm0NmY3yc0xSbHR//MmDxCfWl8TsUHYO/TARLgPM5
73O5IkSJYMTqezPngnIZ86Qices7ftkNSnYp4VfmCrQOEDw51/g1PsD7TuQ3Q89Mvj7KhxNEUIXU
2Sj0sME4DlsuzdNDmWSk5FpxTzaP1ymX0Gh4UAkBH5GAkBiz6tfoWGc7Tl5SJm1ik0sNiMoRC2Am
lrG6UoqIR16w/UxVeayxCfUohsnIwpxOgoKC8xmGmJ8DERLVuSVZ58PXd1DqnY4Zt5HPnkkVWk6Y
Bz8hgjLscn+dpgb/6Ek/1RxayNpO/hRqDrrZIWRqTDOWKko7/29HyptSZfagknbKn2MrXrzElLfG
d14dm0VSV8yfYSiuBgI5LLVVAJIMhJ2HBMycudJe/R7oDChnH+yNSjyBcWr5oItTmzrVkUbnYPFP
07c4a8LzZX7Xe+VxVBO7q6miqqRtt8DMXv2pK7i6ptVJsKOjiKms7w1Tg46Cu3A1mvhxbosdJST3
bs8Z3EnvALuXezseyHM6ePejX8YfZJxC/IrdNubogMn3ZbAFWbVBiVirpg2bjZ1PKqjncjX3Pj4v
/ncnBRvTTcWvqB1pTBjIngA42g0zWBCuB+OmL8KXssgZFsZvQMd06FgyOxV0+fVWg++cu0RSytvk
F9i2/QOlBI+1n5vHAra8oaZ72aWcUu22XSIOpS+vWRqBRyIACrz0UAFsIXIpV0U93augew57+4B9
53uWsDCyoMZdwdBd8fgwv/PDnZsRt1+efPkIJ/eZWSX7jjN+E+b+VQrSZkW26Fx0bIj2N7sWSnXl
/ZTjFE06Gl86S57dRj4MEhb4NF7cWr4GVGgi3smbTmsu6mzeiwBZG0YPRFJukpgkr3NH9KtS+kjd
O4G0geKOKsMS1Q0n1ww3XV3eTSBnk/bJROeJK3eDk/eUlbPxKrAEQBHy0zeJd8uZWgp2EBSAbF/z
mZYGvJvlhbPkGWbH3aJUNT2U7QaWIUbPl3+P9H9P6zOrmEy4/7M56blLf35//XmiJ/T4x2/62zzv
/YWqdPYLQL48DVT/v+xJzl88XPKWS/e6Xvzq/1+7nbIZs11Bth8z/fJLCAZt+J//oRRWedvWjtQO
vy5wLv1L9qR/mucBAAjpoJxpGtKUkPY/tdvZeYqjsIgoM27s+bc9ujiM0zT+mieXCXLGGVTg3Mci
V83sqCmUOgClBbCGd56wT1Lm00FXQHnSLjJoyKphxgSLiyWegq+hbII1c+lwsOLc+KHZyBOAbp7m
Sc4c1NMCfDfYXozgXGSlH6LJIXkXYVmg+xPWmAH+xp/wQgdpIl6Fk42/nTzp7jPwtPDS3SwYzjmF
fTicM5NyHuwUWDJFbY2/wowgGerzhJml8n2gQ67TUGPqiTD/UCFlljurzrvrPNBhwZKHHx5QtT47
S5GEijgk5SLrGdE52cxjVS/A/BnmXG7mJGFTMsr4h6bPzB4C1BhciOUmmrzp2vp27x3S1vPuMuwM
T2USASuigHa4MG7ab4Gs5LJIC1lCVG702bZz+whMNCWrHjUj3Xh9bu0mIuK0oOCsV4SME344Fr15
EwgjPS61eqx4H0x6Sl30EtYXZKKL4b1K6uAX1SxcvdK8E5+ItGw/5qoLbf6ofp0FwvwKaxoCCQyZ
PjSeiQHLErfSVm3MIR7137Ft+sXOgm33gAt5fgYt761Dm3E0YuBjQZXoRXH2MsPbV3813jM9lScn
qqxP5mQnQKxtwo/CdsPnSI14oKF9IYs2MV5ZQKKtfStzq3/wIy87alVkwW7o3Xw/i3nBgZdsGCZz
Kl+CwSBRZcR2eam4pyFQ9jQirXJpGQ+xnDG21ibmIU8RqYotxa47D+bhKbFH6yUJuDq1A8Tm9Z8e
7Ps/7rj/J+cGWkR52/znf5j/9Kgsd29MDoLCDc9xYU8uqZM/1Vn0XTdgsCdmjVst+TFgKoFzmI5P
VaOJkWFBTKHayiY/YmdtcA7k88XwXZQiepdvy9xLowzAlH+fvv84fV1L803+n0/fp47Dt//n4/eP
3/UPOcVZ7J/LWSqFAO/5DzlF/cVTjuDgdcGLoo/wK38PKnEyk0YyXQGtA4bKcmb//fh1YIw6luVx
kMN2k+6/lFRyvf9mDkXj0a7pCF4PfLHu8pn702eqCrvRS80Ib1pUsyTyGsZ5hUmrwVglZbrPxwIy
fWCaG9vo3qWah5VAvFT6TabqGHo4tSimmwd8BJNadeZBGgWa9DT8mG3nm0PxO5KtC4TNHfbEDV5T
IqAV4uuG5AVZhhSOSUYOnC6CB89j/jI6MIx284JNglvE+4w1ZVsl5u+6CLGWF1eVGfQ3UebiMDzH
rC1JA/GAF0H/XeIK2jn94DAdIqOXMRx1alJunBPyDv2AfoIIC2qdTFeG+v20ALAGn+qqegHPoU1W
VveZwaTkjlU+WjbQ/qH61XB5B69l9Kw/HXbJKevKhlIhfOcmgrIZ6nVZg54LCXWTOeKPc+xvb4IY
QMN48lNRIUBxaUb2KRoyfEH+vLO6fNqb3JlqSqYZnmh0nHNuT30+EwCyCOZXY2ReqJY2OL/Kr2Ki
bWYcpgoscFqvs4wmbOw6HRpOk8KQMn+Wll+sR0XDpDAZtzObqZfXZWgHzslu64YJ3OQ6lzZin1ou
IZ/CnlZ9qcXWtHtSRqE+4M4t1nHc4c2jkgJiG7p3GknYDDH6QGdGTyOb07Kg5sz2jBq0RvI9cKVP
fYs3F+DpzYxvzLJDZ5OmfMsI/dI4ULIUcOhuKOlNwLVq0jRdEymCVkPUyJzIrXczx2vBulXm4r2x
zRttZFR9qhon/dIcNxrclMaw2LPV695zvK2gwsvdNLUBbTHsARO2NV4S93TWsTNkm+OfSjM0r0Zr
Xywh9sMYPkyw47ZJ3pNhaIqdnxlZvLZD7Pwc02uK2kFS9elToIxXpcpvbxx+Wk3hbGMzYD3iiF00
TiznLAjt4lAp89YZ5bsf+78H8NR52tJGYTq/jE4+VD09QqUN2C2M1ZM1qMugk4dpSA48NTejBxFC
FV4HP6j9IhXWrBx7vGrsr/yXAKxGFu47VTwiwe2HxDhXxgwqxyDllk35Pm94+QbIl31VPNiLOuS4
mXujm6LbBJ4f/dAyp7tg1BhTxFIpTXxyVbFU8BT1XaIY0q/GGx/yUvcbtK7nCY5Ikw/PVjG90kAE
LoxmVHfS76Hok/VsWmea3Ndh3D8WBmYBkU57umTYKKLHeVMWb9qeREIArCU17KeIzzCIuuJnPlcG
pIOcAHNWbijY5gGuXaig5i/bGX4ShoF2jROBtQ5tlTBK43m6sJkZ1xYVHzTxpbe4CPZhCoiwH3JC
FnWzJ290MZGSIgfjZ7VO7Z+t0V2CTj91kXq2M0xmSj6VuNV6J4Gvx7FKzDE23M9a24DZ5NoWC6sb
u2SMTpgpbJqYS261WR0D3b2TigNkkIv7oWFFS/byCcCYxSJ2qLGCDWBq2FvgoDoEg/xJsfunVY3X
cpZ7nRjPQPC6bYe/BfAw3wHWRNF4b3bWTWXdsRXWqax98xw42acK3Z/zaNA5AFFdp8/woVJY6OrD
LZE983naJkPx5rHv9yr/nKn6TgC6aJLooxvUwWrkSzi2V7MqTkrgUbTNYl/M7bdZ8DXbgGJF6JMq
HV/y2TjXbfXoE0ipcvM2xs6Zk3lnmIQE/eQJUrW7Mkugetxks5oTvVPQO/CcUhLlqjW5W0pPEskf
MO1rSF5smnx4t0nzXGFbt0fk7Jw02taYah6PpLiESYD4RhUHQir1AWuzdYyfA/CXY4aTeG+H3Qs6
x97vAbKqqoXQm2clqNF+E+V4p5R8F451J9rpYnj5dzFw7+wGGJ8tjCe7fA5l9RU6XrVrK6CUA515
dlmcuWvewcVDiirqk7/cliNNGDT/LBpF2aN1m4D+uVlzl3ruqTTid+3UQFkp0WpSonWh925m6YYm
iQvtEnexbD77IgG8GjyqODoXODmyIt/Y5F8xS7Qnc4JsUzlPGSgm2dOsFPdPOVDdVW29+KgiXZzt
s7ndZUtPhIjtnSia1zKMHsgJw/HQS211dSv84K61xndq4rFh6gFnfkZU1X6L3QmmTUSyDNT1ken7
Bu3m0FMoas2Tie5dXepq+EU11qNtUufnGud+iB7KsQFr478ULOnxJyUPUtcfPNPQ7vv2ivhKg7TO
OZbz6BHL6aYw9HGuhotR0hpUDGeGfTgCfbArKeNcxRIbTFpp2sV4vzkqfIjb7EFWQG36oH60BTYY
rx3OplU+5ObwG9lR053K+YAocrRifaJB45hAS5yy8lDl0ecYjltVp3wG811XLcTutDkURYeRYBwP
Qxz98uBA6g7vRAPXMpEc+A2+Cz3wOuyb6BkayK84aO9Lj6xU6sqntKpvTebcdEEAodXoIDAlz0ky
3ggpJOsoMR8tTRSzlU9dqrdjYj1ox+Et1pNRLUxsZYF3yqaOGuj2rvV5bBPTSdezMqF/mb8dGIa2
iIkX8xQV0j3D3rGu9DYWdecTANSLoRRzBYof6Ui9Klr3B9/3/BagCB+AuYa4x5VFKe7ogodtswtt
SWLnZi387phbydpS7UzQFCOxnVHi2LjD25zOAapRutgDmsVv2b5hyUHSM8qrHEE2WIA39rqsMrpu
yMSla5lqUI7hAkS2hyoi451lW7/S9DiOuvoqrBJQVcMig+si5ausCdbsasQ65mvExyO3AXy3Poho
NZjKJ2UjQfsx2s9YOes6mX8lbnfN4ukB+WCD24XVM3BYM/miZG6rYolQ6IbXBvg3QqaDNpeaN/Sw
N2usd1yPNqjWZyNWEBggWuUNOyq3ucwhV2tTTWRQ8Rxh9Oa7RNk7V6/Ifqm6Ydi4vY9BV3OHIunE
gLXwyGYje1fL8NL047gJiZ08+TCTWQnthQGsVVnjc9XhvUqZJ8lxF5gkwnlf8L1buRiMwcJ32UoE
Y3JyUkq2fa9/q7ULgtK54RJkpApZzoRew8+y9JxLs9zMM5+GGurIiPMuyPugnyN2PCYkoA6MV0N0
JZMmzV+zA6uUNgla7tH9Ebh0c4sgyp1lbBRrNRfWOp7n5jxnWJxYOi1Ro4IXhzuYv7okBAM8BA+M
LW9WhrVXAoCz9Y0W1RPEcnb7xmtg89FsvhQtaWhxsLH4p7wWOBZ37hTfhTYOm3LkqVxCtqt2oWvV
DoydPn9kS/lWcgTfcH+CNVyYXLPfXMlEE05ZeF3sS7y9YYBGWlheJVCvmPwLeIt6D3+8fbaN+M5r
8NXMA7VGIMECkYZrId1jsQDDXMhhzoIQs2GJmTDFethizQIZa6CNIRbcpQ0U2nEBkRmJ150tmbzh
zGqAeYSXLguntUE/S1G5dxM8s5h5BKjYpR7a+2QBnklePt2CQLNhoVULFC3I7d+03zI3KNQZao6w
e6u2OGZBQuYcrFolbbpdAa0Bfn8RC3otidUPZimiKQuWzVkAbQaY4RliWwK5rVoQboZsrtNsP1iL
IRu6gEuBIjgYDfkthwA3QYIbIMLB2O5YExGQomT73mjAxukFIGdTr0KiB6Scj7UuH36bsOYQMK4x
3B/tNBe5wOi6/v+xdybJkWNZll0RXNB+AMNSVWhLasPG2EwgpJkRPfABfLQ7yWltpSa5rDow9/Dw
yKxIkRimVM5cxMIslEo0/91377lpUBGrw95nbmcZflRw63JUsY0NpqwXE0g7B6lDsm6hlZEMxAK+
YzpqLmSjfDBRlU7OHD5qj5VFdLhXfB1mahHPtzbhAkdI8VfJgtgrYpRo4xMUNFl5qkaa3n0Dhfkh
gPNpEkpf2bEYBNuHaS4QaXTvg/ODYU4QYyH8qbZ78kD+4WVmVUrdAG647s4DV8Z2mOwr9h3y1QkI
Ia3CTA+NUUP+BnzJ7i9l6cpZaobDziG7NGRMUMOC7hf6KN2juJO6xoEx8wgCGqN9p0yPEt2mfueY
APJIUgZVpYjaVEFciOfpO6M3KaSvKezWFie4FyfnDEAGHkL1qNzZIZnh8VqYsFy34G0TR7gHcw4/
Jfy2Td/0xpraYT49T8I1HTBil8/JzTfGdivzyOcmdj5bboYAgObMKDeTI4BZpZoXDq2vlZmIN6nI
ohXi0W20UymzM+mvq9G0z53wQPRXlG5RkNXVXPYlF4Ltogy5FsNwZWAi9UzcYvJCJJkloLNO5vqh
mp1whVVgXHdaw2o7LRgryT0JP7kHakRxBK4EUAXNesjG12pYPrPl1PcEqb2X/1Fv/lRvyOOiW/9z
9ebb//nf/w/x/Pe/9We21+Egbfqmgwbu4a/5U72xfuPVY3AU0G3e9I71l2yvA4FG99B2DP4tIDD/
IJ7b2GforwQTRChXiH9FPPdM/k/+aoYh2otK79n8AQ23tv9LMfyLehNBTw8nYyC8bjc/CZpyenKd
n6PhT0FecDu5SuAJzR68fKzujDgL4pj3diaNJsBxnJASVeI6mPW7rKIfyqT1HNV93HSdhoVTZOna
EKV+0AdxMZPpTRUxC3/4ZIdw6TKJ1FeWl0dt/hga4BKD+zX39ppEwRrM9zNtMAEpoDvlO+HLQJ+p
13xQbbeCrEWbRI9BLR+qG6FpPNLzSWVz0KmBcT7tHoZfMBgjmm5w08pN7uQxQjEi9pmAQr5RDOyM
drimpQvPzsxcP/A40HKYds2RInZOlraCpKpFmn9muGlP9Cc+h73cINxfsechM+EnkOS0UtoNWq8h
HDUVW46V7M7mFWWfewn2XU/8+8UT62jWhiTFTqU0jYJcnPpkX5mIFzn2aw1LRM2Wngf2tkXEXllL
E4rmDASiFD4h/r2iiT6EocCjxOzSexwkPEXCrawTTCbusEuKwrw20o4PfVk9mRRCbjIOzquW+cDM
W//ArE33DCk10YTVLqazNZEFpL3kZxVytMMqedGZAn2n2ie+f2tqDpa2Pe16Ew9IN4QYyLPwkqm5
pNrOvKKysC6Zg2kEjBMOP6xG/4pD/5KOsMb0obhGBTU8rco/8Bgy3NIOl+jLBJ9wHnG6lN98NQMl
xoah9A7jn+/BKc7iJ8aMcSd8cedqPlCGqbzlcui2fYVDMuw5dWqGv5UAeWPLvDpDvJ2T5lvRT2+W
4JMtFCIXN/smBuKxyiySlbGfHsem2IaQJ2yv2WuCY67AdlGk9tWOK4Oae0W1q7q2vdogIOIuT89Z
gVcg0ytAa+PUHHPLfZ1zdSqLobyTRfnqQdnTfPOhQqXbm1F0MvS2ZPbg5UF3zDrp8caXefIt0Wvc
2vg+l+DIycoJV5lj9BbhE8FTJd4brGQrrXXOdeK/ZIn0trwG36aScEeiHd2WNuXUDGiWjddzXMNo
t5+tyA6qtLiLkxLxvu95L1g7Kmv3/VIwjVa8y73wMtjyKZrr/dxY+1QnpIi1a8VT6FIuXhGLrKzf
QX2y8kmsLEiNaT5/hbi2qWXQPl0FMkWrvuJZ0PSpqHPKoqFbycIGnVfo74TejnNuXnUdPzm+p2d3
cVwWEf7sKY83aHsHACNHuq6DxELWUy32DaOBcLGhnbSgVLbZU8m2s2aBxcP81CxaFUnb92tFmQx8
ofpGjcOLX2QX7O6BEoiRfC1qlI+OkW/70X6oVf3ohoqFsFHj72VU69rhPkVLYHHS7XOXp4tmZHdC
r36M1bizGi61KE6QPqM7upbqddvI59Av73Fu7FLFWr8YuB/DXntngvkRxvJeSQOrkncmOXeLhmKX
JsPBy93AFeGB1dNd1RPv7pz4fsBr0/AZ1eTuY07Lm7xl99OzYwoqRz2nngo6THSaRRZn4gdsXRd0
nPkysOVaiWY8g/MtUMF7nnCwjgAaHI3Gvde99uw2IdEC+xizWHO0ZGNmDSzq8JEl3d7s7RsTRiCy
5DLW9CAJjTxHWT6jg/L2bzprzQZvnYVIPXO16+buvl46H6nMVmGnI0ljMQk5jedUZU7ohlRh8wBC
13bTm57Ze13TdkmOmu0a02tcuYBDAfeaPHjSUJzUSCGrOaydsTlqEdl3AptyPbS0Dup0F+vGSqry
KfaKb91En4iiVoIS3h3VF0TtUBUGmwIXzFZNOAV9QoIcP/GO/MvRK7SnCG4qgIDvCRUsaVmBPiUJ
ORdweCv1BdKARzDGaxvqAYXYAH30pdOSaJEDZsCo5V0UNfG6kX1CT1TsBZE1zZgWsGrQrLqG4fyj
rc3HfuofvZiAdh97DxYgL1QX4EQaVhI5hzy/Ype2R01ePT3GhWgyiQ5iTu8KVX4paNhrqhnRQXjO
opBQBz9nP1kxFwernVFB6fzxlffSKkBetrjqXvwj8ZDhe5g9MQ/blW0YAwn/ZpfZPO/rgQRpY5jO
1tV6Uu0isBhSHC+aqZWJH8GHXXrS3mlJsqxL+JwQd3COu3w3qX8TkRXg5HuKbQIEiUaKysEFJgbb
2Lk5pR3MLQbdQrXUDirS7nQ9fZBN/ZLY4HmyzprpCpmCNCvuTTuFZFXz7RWlfNQqZqrMDMzGwaMK
sB3JTVvbRZMdskHbE5dskDFobBPCpcTFbQhpY7Y/2GFzSxgELv3QxScr8tCrtYUib1EHF2YIkbaE
bednPTmJrIyP6Uj8seFBcJxqYV9cBLXFL0ToyjC09ZSF74Sr1L2dAGhoO9tDSUJNLTu+6BHWHK0u
ErMnuOQHwQI7mOr4RKKJokPHq8mpe+0pVDYEUoMXZlyDevBT5zQtuypZzU85atvJXGqgZ6mNaKJ4
kIh9sMjIun3Ztk8j0zg7mwTbDE8Kr5qzTaTXN13wH+VcvUX4Y7EoOjjg0b2EnZ5joSG+hvR4hv2w
sWrrzhsTCJZLEBQw/VrM4qBU9oATFLsCFffrzOPatSZ8jviuZB1Fhzj0Piv07jnkSUSWDDfm7H33
nHbr1PpZDOaNHtMzs/yGu3eDJiLvKtpZNr6JG6tkp5V7FCbh2ckQVEhfDGtCQRP1Z1iaoBw9KVGa
90IR/OvbBaXV0G9ei+4jTowHTeOicGq2UcQeCZr3LserXhhnZbNadzJCE82cf8fnyIUs0ovyXPnR
Wqx1ErDkc8QHckZAdzIeb3SlkIsw6al0nPq1H6S9YwasKXcRzqowynRNcY57iSLvYk3NI7AlcdX8
zkAxFjHImFwjoFvDj7Hfeu5jVZs66UT7bmaA0vAHl5UBKjsvty5wMYzH00dEn+cJlekj6zAdhGb6
QPgV2UHWVy9pyoudAuuLvXCrEZRMRycghJIdZMwRZwgPs5Ofm7h/8qvp2UqyLsCmQTO0eUzC/gB9
DN0qp3FtnE/CSSc8VtFHFZER9odqvIaTeTP5vc/NKPeJ0x5od7/Xe+u5HTwQ6NjKWJF972BnrF0E
uZUpGHmFTTsUadK+c4eDEPMzvsECb7XHpZPVLwDZjjATR7gW8ysPF+CsrO8nf8Dg0XSXFL6hWTbH
sRDcXbZ1mr2xCQQhw8ydj3WzPDopiiopj4Czsy60qsAqyrwN7PXUplgdy6y1cMGDdc9ZIqbh2ZUQ
L3rSsskgHxJCHiGTMV181R267KmfsTcOMZ3t9lIE2Az52qq7p57K5HJQWDRkc8saPKr8Ubchp7E2
s+5UFc8GB1pXrwmn9hXtv43gRgzN+zD3t5nrvmta+CPVsyccHh81BIjU9CkKTH4lQ+SuAJC6qpiz
mBDI2EVGGcyq8da5RsliDgd5pUVsPt0E1lBqhlcO8PpakI1cs4o74xvkxqyf/ba95wCz0jRxB5WJ
3VB/0AuWVXLYpWF/l+T6ztekvi7TVl3cpgExhqPVrcg69yZCgwNjoOKqJwL6zorzTXcxh8scNuVA
ucGaMyJfSRV9daZwDqZmvvI+l7BeWBzjPn1JyAxwutgol46LuH9tl8j+UPtfKWluTiXZh0kvwDZK
Mp44o0atQEIZbhhmO3/wbiqdDkZYfisA3wBA8J+wcj1hU352iURvTJF/kYwTXwk5RT4yIW09xDIE
eQeLsyOhzbhB23asaa32kyXwmeOmTbdQeD/EVrtWberB6jG2JYXTntVeHdUkAYQw837CEriyigH/
OD0DePfApnFy+R8t4W9aAp4bm9n/n2sJ/6uJfv77v/2jD++Pv/SHlOD8BjIPqhdnYqAPZGv+lBLs
32zTcIDPQgrjjfF3G4iD1c6gOds2FwkCxeDvNhD7N0AV4MZAhzkCw8m/lKoxdP0/FOWwevcJOeLm
g7RhCg4q/+gDsVUXRXPPoZOz2nRI0kb/bIn1rKBiU+i3MBy7heYYm216gLbeHD2ZCgL4wGWclGZP
MJD2WGO8B3MU4y8Nf5EiQUa6oCOnhSGZL7G7FKxkTHx5TfnchafSWS7kSSujJsQPWzrec8wX8dUk
rDkknvNdgK2Me5tjn5YuMMt04VpKi/edNrnVV8VGZgncpvdNGmEowGYREzojKwM4H/PjOsSvsepU
s/OZXePQCERMLj4C7VNNWOwtWl4iXnqRfa05yrUdHSnE0M9YYtZiiuWR76VcUhv3iuzAjyJJ1H2I
mJnjRcCFF2Ma87NOI36JwbaNpL+TDkTWsISfnTXOIS3MvQGQHQyp693NqdfvB8V+kE+A69f6QXeg
XPtRYW6sCAKomX4leau2YayenDHam6bebWhW/Kh6RNdyAILlovovBWFOVe68RgLV8jp19SdJ+YaZ
hGfmc6KFYw7HJdeg2xB67fO966ZbqiZPsqk2Re0HqSg3sZjnEwP5HlxStXMRIfHEX/xwPooWIgkh
yJ3ht3QPkBaucYEDiDgC/XiBJ4ONkRrgtXhnvbwrfOqTcACvYaoG1CxBtK1dDskOiE2dxj4nMq8G
cq0WvoW5a+0cq9ur2TqGJJ46yYon7Dh0h/YGVgu1tqNs0cIB/tfhNqqAq0ZuoJfVrUi1S5PSBsyq
X2GtTBL5VIf6PrITUrXoD4JIfUgxd05lcUXliNE+Z0X6rbULWDmA/j1WlPjIDySTPm2Vnx2934wi
8emdGzeSsA9lMhljWvERRsbe1YazyLutdPJvVWITV/XMd4NjduOrvV27MOzdVVQxTlCozJy6iwj5
u0Z9InD/xKTzc6jLTVYaQexGA1nXPmgJ2lB0Ij1sS2PJ05j4gzdUr2FIbZqTvNROf1/yC4KATCK6
YNHWlNhGS78Ebd5VfhD1CYcgtwcH2UHLqdpur49geSZHroVjrIYe5U2h3gm35D0qPms92RrYQVa1
Hn/37Gzfm91bFJnlxloIYE5dQs/z8Slx2CSqLG+K7Rz3c8spLTXmh9AdOTu7t4F2J4ob53MfGnd2
H5PjiSNmX6nd0eLA/mZM6WPxDwZKTTOZ00p142ms48DI4u9ONj7OQr8b+3bjNuMulhxYE6iv9HX9
+im+VcsAldKgnPry2Rip2UipTfTLB3Mw7EMC3z5vm+OkxxfQssABqN+yRGEQp2gBQ1QxDZ3z3m3i
z4nknjRTaNKc9BKb4leEd2Vy4iB0LWucpUIUI3Xrw2GceeTovX5Ndbr3UpAemUfOQ0CeoyFkTXnj
wRE6/QaJxdSIl4tohgydaxm72cF1xsDpx4GKi+LN94ZDgidXHyci0/rBLbx6k1GKVc2xWk2Tee3N
bN9FubXuLZB4usz2JiaTlWal5tp17FeV2ze8M2RrZw1Xp1Ft5TAP+6T2hm0e8bsxYtg7OkaRYWbh
4MA9HLNnejXPae3CNeQxB3uetIeiWuOXh6z0kqc0QpTrLe2Fg8RxbsWxzOj3G/L8nf11stZG7jjb
72Cn4AIpRcnafF6O9v60ZeXkcojgeEfJKbY4mewJROWB1FhoZkb56c+Jw6SAhNWaudpOowhXnoge
8kLHZFfJ57EVJ8g8DFsz6fZpSJfcFbR9IAnfJekK5mXj2oXsdSYaXb2seOhzv9i3WruSII6lAURm
0EDUzim+tTnFL+jl9s9eNMS0ugU/lTenwWs3S+0uHvC3tvbHtW7JO5L925INKkoDSyRp4O1WXgWu
wCJTP1xZNq9osj7HUb+ba+zOow9wNisDIEkZkezwKQJHpYhmTzrD3FC6WOF68z5qLaJsJkWS1NMC
TXOlFmgkxpH/Mtb2LmGpKbReQ5sjpOUCvIzCaDf4+hCA1nS3tbl0kVfqHOo8PMGE3xIcAEyODtso
j7IEnH+bqc1w2HhLXKylzacb4R9nZFPYLF5LyLp2QRTRSaArMGBbO2L24R2XfYSoTwkXxavzhdPs
CylwLjVQhdtoFtdIU/Zdi6y5NUt7M2X6uAVAaIIiGdJd4sUFVI/8UrmFQAriddYUvMmwLyryb6pF
lCUtBnFrpfmYS6pJ8uZ2/IcyEuTf+vi+jPRzaE83hDmUtTziPTyYQWKydhiG6JyEXr31MUOsTTP6
nAokK8sQD7rra1tZMTurAdCtl9FLpBG1QmwY0ziwMaetSk+89qMZdE5+SDR7TZ5xo9s5j0eT5WYn
4mEVdfCMc+ccI6NAW/kOwAM1yA/a1EyCKLF2lV5vuIQ/lAi/058ygXdOEGUdLJyy8w8kujxUCBQg
TVAChFd+7UzQ43QfWa01RsK9SFB2WACYXGSpEH3K/12oKvWACOdOK9FiBRYQ/JdcVxiyCZ3yw6B5
TXm/HdDAQBTz+9KecJFDP7J23SKW+dKeAhf9zFBWgJHrnGj+cUJf60O0Z44ZRzVleGXzJwikqwFF
LqLeu1gkuiYneetH9RFU2rpFxcPGeTJQ9eBD1psIna/EjB8vwh+tcKhT5p46lxvuZKTlfltr2jZD
MSx6LttFQiRcR0EBq2mJuqhQGYHXM0pVR5OmLY5XFKItgqSlZc/GIlEi/24cNEsf7dJAwyz6bi/Q
NA20TRuN02e8h0d3ZFWxz5LmrKOFemii/i9xFJWUNX2x401whstGCgElFR3sWC/SKoCxQKG19qIN
orF57hYRdqyLnG6ddNy0KLR9uRwPfMDd0X25SLiGPtwJNF0XbReI4yFG651gkXRovy3KS0g+rbTU
jw4GQ8HmBuZR1MIroiYL/RgS07O/CMogL09AphHqtWFjaP2uDnOSJClDOGK0k8GIWeTpHp2asPBJ
Bzi36SkjRyatH9POfFBkK2NVPib6W7tI3mMaojxkFwstfEATbxdx3HdKyhsXwRyO7ydmg22Gkp4t
inoI2TOltmFay4SMQ7xI7xYafIQWLztFgBtxPkelF4tcb9Tucwuucj2h5JOhOaYo+0YMsiZfxH6x
yP7c/iwA2AQINgIJmwE4RBGLrOEL7MKtaTqsDssaIfOwTKc9tVVsGIZfqwZCuaRY9rBaYJCVTxk7
CRaaPDExudXLtiK0dx7bC5UgE5TsM+hmC4zGfJ7Yc1gEjmkaNAOLjZsWa0di2ptGT9/0IgF6Sgpl
Hq2z5gHjNH3rHeBNc8Sp8MarBLabhxd3Wbnw9tVWrqs9J7iqELbIw2Ph3o2KtQ7wjdOgt+4+ZIvj
ss2p2OoUy3pnYs8TS/jmnmyOmcqAnDvOvOFiPXscTxVbItE115mtEXVF+jlnj4TTgBJMNktVpfYE
pvYT5xil+E6XFZQiLLOyFOmeqZsZU9hUhVr/hrGc6o2Iu06/Vmy0SPeSrx6MTWOh9GTL2kuy/9I0
WtwFYOF8onwOtuTjvCzLHIk5GpLssBkyjEq8qlDRmFCEBVSucZrHohRETsf5W1zMVKXTZ9i7w1vv
6G84mG9Spt+xxNyMInpxPHTtquVZ4Cf6i+shD+DIr7mG070lml3EsZzdoXHHeGmxwXG3kUfICX1J
32ArnFe8CDYsOSjTKnd22V4bxDyEQZZeygcr72LvSeov1REFFvAcvf7eqpy9J8kIKw++kBetw9At
aVZj9DNz65qTfsVz5l/K2LnkLQSTuN5NFO4sAeLCkssEtQ7r4ZRwyetGe4hhYRKgYrsDisUdP5FZ
qUAhEep+m8r6eYSqiJvYXJklNmYsnxuQke+RVz/UI1tcI1qzjx10Ki5bpOW2VsZD2thfCZVfWOHj
Y4W7Jm6SdQJxqHTireNld14coxTrPv2YxiMWGe7DAfAkaCAHNCrCeRN0pfFEYYBcTQRpdq7fWdDx
28CZzG3T8Gws3WxLCTP+jX456KReetTGem9onAXTftun9aPdJrtpohrZIJcLkalmw5ccBeFZUJ7R
U6rkgze1D7UGv2Wwz5XkjcgL3XotW55seSO3WBJcuXLolADU9Rya/bPu1y9pEQauF2/YTx3myb+w
Btq0FZwZUx+5p5y9wMxcssSHTTTexUNDnL4lmF3cWaU8Im0RnNaYT9olqmSY/rTRIetO+GiHKLzh
LSQmi8Za0bmHKo9IR35l08iYPJ5V7Vp3/pK1/0MjB7bWh+R+8Hgrz/KA1rs3Wu8dFZ7TKAZs7KDf
0QmeZjT5VaXzarKm8jTYVH/WulNcIjTyOygaWICtn5XQLpR7nvSSQS3BDkOyYE1RKr2aAp5nvrez
+FsMFIbtzk9ppMdedoSgJ8abUCbXAn5uMY/s7LhIcJAR98r1QyJdzDxuE1ReNX3vkvrmZ9FdTxye
N4790FTDoS7GR8M3OMv6zXtpkx3gGnsjSZMfO8yKdJoeKjHeZeF4NSXIO00xvMQoEP+6evbfr8yJ
3CYJpP9CF+OcXf37v32UyX+Qxn7/e39IY8Dw6XESJNoQPQlLEVL6AzkjqJf2LBdni2PQwmAhmv0t
I+X9xvl6ceBA3zKNXz1Pf89ILYR+h3/Tdh1nMeD8CxFVHFn/yWWDNxvr3e//nrv4ef6akdJpoR1U
6JEuxUl8yBN6o63Kf2pNNe6LjGMxLxpAlskHBYdfdSz9k+1Ixib2A5M+niyb7ayfhC8Ytw/UvJNs
ITf4TSlsa9WkrKPh1afacuB2EWanA56NkOK/fLsdMcVMtEiRUSfFRyJ8mJtrESOAR1ly1pyp2DEJ
5+uidj7zArdKm3ACpmONRA33oOZBIY/qGguKZWgUQ8AKL5kAeqd4ahr5aBbjwSjD09j366qYIK4y
knu5z9aR3si+WRsVbR8YHqna8Bp6dop1SaOSkRUkJPz9OKn3aLBf4ULFTA/leHDMZp+N7jNeQ3Qn
49SwV7RsLH1DChwqsWhE0aaEeGtPn3NLFCEan3tb7kYdQduwDh5fmW6mxQHk+7iva8O5MvOCEPVC
ixeYe4dJ84ATztbjH530uiCp833mWD/C0LqOcc8BwOqaNSL3sHfoJFxL0TyPFs8zS3D8qiK6bDlo
biozhiGw0H1Hqd2bubw5CtsjQPXAjynbDgHkdH1yMokPmPH8nSPbulJLF4DnIzGl6aUUyburFst2
Z+kbBWWmTnhyWKmBnFnYX7oiHrCcx9LKeM5KM17FeYyFZrYf49F+K1vx2ujyO86AR+j76YajWRfU
fvnZDO3RK8sPcBtvkQbDdWLJ5VsjxtOxO7itHq6qkCUGQdetIdS+KjFBj/anTiMqzpnsIi3jGgOw
X6Vjscth4K3KJaDqSBJuGZ0ngZ47b3YOUC4d6CDwv4VRPW4nOz005vCYpCxA/F5+FjHWLDnYT5bO
ZtSdF+dHT5rKgmmTGObJnPgN9cOMhJQ9+k3mbKaxDMqMCu4konylH8I6wDrK69/yTqlKX2N+WazZ
qfyuZdRs7K79DLVl5B1J0xWOtY89aZDKLU+y19srJlLEwWJ5a9ZKA12ghg+/jt21HhVJAOQS96st
UH8tzAae/tY1SJjMKzC+iSPeEZqKwYWOO/LLkNXN4mcsDMpMPTJoEYizFSTDmy3VcG9nodzTRfCD
MvRHxRAatyybrT47WrXrrmkb9NGLkCW82rsVuokbesJRgGMGyzQokaYXH1YZc0B0tZjvTn/Bujmt
Y400hWsTgZqHuX4e7Pg73c4eiJbIP5ipPFZ0WM+z1e41H5nULQdmeuXKHfuse40Wq8AepmUbt8fO
h6e2cJ6HFvRvAkybKWU6SFGY/CryozU3Oy8evyVw4wK2ZGLDZOfvbcUL2zX677jAPkQLxnQGOCkY
mFYztBB0jemhtlk2d33ksOzkuERxLZ0HPgmQLLpA3rmzowkGuWV++FN+HKCv0zXfM4hVSAOGyQs9
trOj3zsnOScnH3Adtz3PkK5rFST2bpmkLspKvpHZCsm3O5scg3U2NGdEinmNYYaeCOJuHCU48ae6
uXEG/TvknXPo5N2+B183cSTVPRqsolF+xZTYA0P0A8eKMI6F7yTUd5SlAfrSBPwuLd86VXyf1PaD
R2J85wBOZKrSfkQjbo3Sjp4t+1POTdBUE0RY0m0hZ6kNCxiqt/i5wgzKjoTM2dFGX5pB7Hgbo1Zn
nFoby/ApfRUs5akXfjP6JEdcnemJxdIv8Bg2WmUS58MRDdOfUgE4jJ4DiYB9vWR+naZVlasHQjuc
GAf7kiTWLV8ooXwhDa7jZr7RM3rWZ4vi+VDbtL17cXnirgZFg3sChlVKSCDKWM4nozdzU6CU+9VQ
b0ACf4qhI0o6ypfCZDdrVMZOM5jE2UG+GFHc04alvZmZ+rDM6DgYQBtlT2LXN35kmv7Cxc1dC1yn
gynGlSh2UU4et8VtTS/Jrk2nMAgnn9ZPOiz7qi1Wou0LvOJ4vctJYplqQCzVuFRXvQFROpNPPaGc
hcGKwTxdGfB7Sp8WvcGsr1OTPSyi2E451rdorE6NMHkwhq+UYZdQj2QEw6p+J1uVrmPpPtcx3x8l
8cehMC5tWn001hwvAJhv5LXURplzoIYFcTjFTzqdVzt/Du9nXSSYKNHfLKhP3zTHtb6B8+IHgkew
Lk0ESx+gbiNJB7Uavnwp+DFMOe6zOozOnbK6h3bkExgqvnITgzWlDVtDXSLXU0RsDRxcFIcKl+nk
UO9APmiIXRLL8d1UUFBPWdAudKeviUhRumSLQC1CBCJuVEDH14kfRfZ8oVh8WNtLMilPjZsiqqQq
/dFEX4iJMBlLlikl1GRVOqkSvlDfIiyUZf4lIwAVW/pjtSSitLC7ukSkOqJSjFvEvghPpSYpqoY4
lUpFs3by8KMnaIV4xPobf6wS9R4nBhbWCt4C4SwjZbVBWAsQ1h7lN6gIcbmGOJIPPOjtBLXLxRvD
W/wLlfXmEQBzliRYFzUPxpINowTlJgiLjQzGeG343yam/KyWRBlxhqCfMHc6hM2QYw5aNJGYdQ4i
xKZJKG1Y0mmqwhxYE1gzl+Qa6ei33Clu5ZJpswi3+VWzawjKMPaeHMJvjD0P/awIwwG1X9Jxc4Tn
mbhc5alLTnyOYrNxVVYmbLPJoxyzCKy6P1gz1JCW8F1JCM8gYRe3yMRG6K0qYnozcb3Mt0knkJXK
CfKZLov7RfOwnosl5zcS+DP6YSk3ujQEAWO7PVcEAwX11HyVNMzNYPmJDlpECKmAPSRECnNMAzkR
Q0ngxnA7/5XWX4I8xh7H1QZN4zUjnKh39X1dpbeJ0GKlrE1NiLGIrZtPqDG15dFaUo6zG4MsqoD/
k/nqCEL60qq3EdHIVsesR1QS92O1rsLqEIXlzyzT7wxClRQbvYqQKmLClobs5cla8pcmIu4avPdu
cppnHB79rsqZJ/Ult4nfj9z2kuWMfsU6BTSfcEl6poR3A1HgwJXEQONQPk1LLtQaSCf5pHU48jzE
lFqtxZIiVUueVBEsNSu2knDmWWJiI1uyp0okjzMjoEEoleankySkCrKMcyTp1ZkUKyLCBjQfyBOc
zTr6htlEAOtEcYxIwM6G/Rym1r4hGevl7TonKRuT1HPS+IHexZdxidK2SQh/yH4Ll5BtPadPLqlb
a/YvFilcu4YFvcRyx8Q8WuR05Whc1BLc9ZYIbyEqblhaQRQOTe3Jl8aODOR5nOJ3rTe/44DaR0sk
2LWm2xjrxI9/xYWT4bFfAsQuSeJcq+y1ZhNaL+VBJ2sMPRYIIuljQL10yZBHluSS+4EZeFD+++Rl
3ClV58H7jTrKtjP4WVXr9SfpklNzp+8sIn9MdkLF5xQ+oJIQ+cEtvkigazVzfjW1NuiSGEB4TVUV
ay1yMX023lGVOaH/QxseYeqozsMNa9w7GNkmoFaUzY7ByKEwGXWokmHxInvvwlIY7CCVUk5HYaY7
1Nten7td33o/jJwkq5h9ar9zFeMIxCCoapbrUx9Nm8lMum2r0QtPwR8fbFnuJ04vAqPS33OXmsDS
lCYFTuHWTWteCmN9b0azFkRaeKDY8WdseZcQcgFFXuLSTvg/6dAYQL9surLEmUt0SSMkCop2ksf/
H4Zw03eX/rh/bk55TD6T7h8H8D/+zp8xF8x6CD2eY0Kk982/M6KIuRCVp7eTOV937MWC8rcBXPxm
ejBdfQc7i/N7793fBnDnN0rnLJMNLuRXc6nE+xcGcE/85wHctVAAdOxQluCPlz//a8xlcqyC2KxF
WxKSd9LZzQaORrjxGw/kZovmayxOUXIjoOL85JTQI4kxInrETNARiZywmDYCi1S3+E6bxYE6EILc
hazB70fsqY2BT9VZHKuax3Q/Fblz6R30wmRxttIlHh/Jkf5f7s5suXEkzdLvMvfoARyLO8Z6briT
IiVql+IGJikkLI59B55+PmRlTVWXWbdZXnbfpOUSkSGSIPD7f875zgxe3Fl8rzhgrcULGyb4pcXi
j+0Wp2y0eGZtzLNYl3HRemO3dRdnbTouSdzFbdv44ZHUvGZwwIlbRoPJklO+x5h0A8y6oq4fu8W9
23kFSzEMvWE9b82Qac8LCjBwdfUKOeChwQTMKh7ePNBbTQcsJmHPM5j5BNZioAc7UBY431r/iRdB
9NK45ySDw6xuN8JYLNMJfsCB8wtWsbscgzKPeRCAJiw5Ibe9M156OkB2sTTDHVhMVDsy5sPfBGn0
+A43mdfhmZyxRcO9vbbYpBGBXyW2aYxUDRgiTWMslmoMLqwuFpd13QzHZvFdi6z6weGRnHG+LVN4
JtYNNu168WsXi3PblQbL3wgXhMDW3WHvlovPG6zWo9k7j65j/Z77ylw7rfkdVnBKhsUlXiPYqaCM
1m3goOEtal6ArJct+p4KJQakIDjaVYFjyc+rTYaPfN0gDPq6+RiAcRqRvW88iWPOZ4lo0kaLpJgG
xP9DeRshNXYl2py/qI+Y8on4RN7Gc911i0ApO2ubIVjai3I5Y/LeFtXNRNmVRNpMioxsBInXtcmG
9AH0VLctxvg9mXLCWYF8pT2n4jiMUdJlj94t/pxJ/7Zs/4k5n0BR0L/PvYQqmo/XWlhIbZJPGPNC
7ofbNqKn1k/7fRIhpzlYRETjYCYN9xUi9H0XFzdVO19YlKkjO98bJ7dvx4KVkGqqn6LV177chol5
Ln08KWEH0DcKXqccopqMmoJdT7huy7TduE2/Lw08AeEQ16vaCUEqD1R4REUxHMj0XKuZg7iIidYa
KOw4eu0J5IC+SQNrWjs9NRMOnynNLOgxo7Uwb0r1UDuGxHKmH2sqrgBw3ktKzugOCn5RK3eaejoH
B5uldtGhZjgt633IowTX4SFj+4dFpKcbYdJSkBr1T2o4t40e7u1xoONb6Xd6mw9Y8iaYxbhj6yDF
jeJeOj5liMUceaauB9aPLq4z/gYn2sWyxL1O4vDS9OWxqRBvnJn0F4atsyzEfPGyipNXmVhrv42T
K9V6V0/6X7479LesMde6SCjmMdRrz6kFfzIlGlS7+yCidoLgyLo0c/MMDu+hjiVmTXgvK2vAaLo0
9hjF+BW3+rcY6UbSVFyRK4XJM8p0pIcwPWaiXI1UCG2kXR2poL2PBQXxVbSZU/Xs1jWklLR5YJB6
FMDjr6SKMKL08qRMC9YDiT53aH7SQN8NdnkltjrsWX/gQ0lNuW1zBr5GZM8phvRV5mT2uUXJxkHT
nwmVYGk3k7sMB41TVHwLQ6g0vUOrGrbUVR5b92HjrqFcxuu2jXEShNUNhR1kGRK5G0R+65Ab31uK
s5kzPXVlwl5zUPgjyE8VOL+9LDbIngDSTeS338y7aBKnVFLqY9pwfUqFv2PYYKiDLz9hf6Iwu1dc
wWG7QcLfD4P5Pfnqdzp2exoxiX64fIcz9LTE1RwvqaUcQ+IE+ei/9023SZVzaBpKRu3Q4BQKFADw
dpbzEbSzRALwbyajeZCayyrDKASdD9awo6mAkOxJSzagurDR/EtMw9lAC01xNYzqyjrxgdD3GtLb
BprKbqjcLwrVir3jJghExHHSWg54sv0l3VwcCKHwv3XZFzLIejRUssX9Xcn+virNxcdNbXZdJXzr
HQh9gb0yo9ZZeSNyYWBel1sAqP+t7lDHrCY7cri9RhXcoS4+h1b6HkRUhrZpuC5k+uiFEfEqdrkz
p/OpdK/a+0SDZIqzEXZs92vmRjYIfcIZeo4nQ3JV5HfLEEkAAU+Ne6yK+S1zzBeM8S9Og+rrtGjp
memT6FT9vYvU6+TTqe8Vl0rNKx2wVabaoa3SfB6z4N7s3EMe8HpotjiXBuOxCjd96yPK9CB5Cvpn
Q5xaOj4bSGaYmTxwFALlqh1OQRMRZJkPcewdE+09DIqwZ+POu34wP4BQPaS+OMFLvgSt+hIyh8YQ
OHdz7bk7P58/ayxJK9dw3yTX+npEwN54NuyaIS0IBXANKmN4qczwriHVucao/WQg+K8lqajYY0Ni
jsPK0+WJodTZJ15FB1dlw2am7/GqGLnpBuUJWWc3jcU03tiLO2+EbkbBIbnVLLY3gcADamcwB8fq
zVoKAvuqGXEv8ZWuq+kTqM9H2EjShnVebVnHED6AS4JLf7DXlQ/yQRpirXsiHpiBARPSAB6OnG1F
xVPL6wH7RPaTzNjv40JBNqfFKKrh0xjvMioYDnG8OQUuPzBXVIXqL9K/d9CZIIdAr9wMg0vMZOCJ
T6o23WYNDPnAoBDXsza8QdWRCkokOwUGOKJuZZVVkMbgL0Xb1KuPfsQqLAoQSbMp/PIa9G3AXa+T
N+xd/7Gis4wofHYFp3k3lkiFnZpeJzBZssh2XtUTfYrpHSUcBHgy6CMeA5Dp3dSFblk/V0P83NsU
IsmIm1BIcyrg4kgVe24/+HA9sPHSYGklqGfCWaHPIOVvS2/itJa/1GXxPGv7KzCbrWXqWw+b/b6j
1gnPJAkNThM37CV22raOYZ3fM15hMzOf66q78hMDA0/TfNN746nrgp3feOElyMd8U3YIvqmB0ygJ
67u+rl9qArwsmz7rrjqzzFhRNmMcQwE9Uzq/im5+pWFpwEMz/GQx4cJowoGkrfGza8RRNOOTC38T
4RkIdewGewCA16koezIkMILB8vRfEDQYaXrWAx7sdLIQg/yUrDLKvj23nlzjm8KAZDWfHQVQU2n+
djrGAlUjQvDYwEQaPHcxhVf4sBOG+MWzcck4eM4Rje2VPAx999Ml+j7xsuM8NLc5FBs8YsBfbEIc
E55WfuRbkMdvgcvQZuvgYzJqFyELhILoBR4Bx/sITVD/qZ8cZoenQJK1B23Ph7pxPhkFm+2UDhhN
NCmjmfIyL8RDZzosotOouR+HDOa4Xw24e/oBUANLz9lgUJ8B8rFaCfSmwg59AELDfMHV7ziUv/AW
pZx69xRtrh2DvRHncgjNPqFoQ/OOGFXxtUAezGRk26LpL7UrKnwVuxSb9KYlQm7HC1W1wKJHep58
OHE54tEVzMIZC5Xr6eckqLkAZla1bnmY3aZlj+e/yGSgOmJOj11h7lsDB7Ldp/dpYWW4Y+ddI/qN
bn1Mk74NxsxI+V1GZ5ygh5Fl8zfa4iaRG9fB4olhu8H36CafmUhZRDVBtKkway6GzFsnin4EuznG
8R+Z4BR0okf6QeECYq9yMi4jlTx62lpVdJzp/jHE+xuz14tBNa6EVXYHoWemZIuwtfQuBLpqKEDd
vQb6uE+NbusQ11IFiD4mG0rFFAIZqUG/AYNLY15VU0MXU0OQ5dcIgamtk3fUtf3Im252toYKbZ1U
K94il02qovErsuJjN4Bis/w9ExO3N/lThu22agJ/H9Uj9WT9XRnZjzJU22VzMMRTevC9AvGQjyQr
/oYeAEQ1w1/LkRxk2RuryaU8CnsaSeQMY6OfndvRfkeTuzRy+IyLIVxZIKIiFR9Va8O4c8DQ+jbQ
Ax9gz5N2u+NUT/dCxuDd4Q20NEGUo7ch3bMmgbrzQ/tcYU+mBvs2j41buxdLJ7mF59+z14VWD21K
3ZCwD/j239J0vjSVcehbkmisheEXvo6g/efYuulMeWxtdkANHb++ETD8Wn4MCcVu95Vj32VL1wCP
HgRKnBumBSDOZS2K5TMOwSm6dn/860uNS/xVF03x0/77//4a/89XUU5gGqL2j1P5P/7pv5//QKDG
/5e5nKc4i/81l/Pnb/pz9yH+zcVbgFlAeh59g84/dh8mDgNh8QRE/5EQW0DB/mP3AcGDSI7PL3CV
MPkZ/rH7sHzbZCViWxjmlv6cv7L7WIgl/wHxIVwIJPBZ1R/WCCp2/uPuQ8reKguChQCoqn3HAxIR
N3syqSvfIuEf8N9voCGnm47vFeOAf0hSScjeOJcFgo2DoR8s6rl1WtyzmANoasJIZVoH5WIvbxxW
jB1ViATf3HQjuolG1mYEkmwcnKHZYgAcqfdEGELjX2svR3MBDJ9njzUqc1+a8lJbsjwQsbZvK9G+
5r7BTd0wJvRaegjWMWJ7FC4oetd/cfSQyE1oGFTKU1q6QgV+pq4kOTAC4vwd3Mchr/pDEKYpvyq6
CULQhwNmoBbWV2idQ1dggWK3bCjAJP23bVY7+tujrybKKSkFkHEA/4CZqa30dmYjhP43Q/LvmPpU
yrMipwV4wyqDDnU20vDe4teZkDBlmzbk++Epc0CPecM2Dqk6DTsexPl3rqMtye9LTFF41DcsSYLy
ZIJcmZoJOIS/LW2cZ0V2jCbclngSZSOQcfy7KGj5e59zn30MDc3xV9byqRl8ZKfImvYN7TzKJAjk
dZZ9GBBp17PLO+X2FI1rh4/URcUFtkWpi0fQY+0l7B88f3iqoxLok//EZdluhpbDBTLQjyOimM0V
B80yerVLNJmIgOuiG5ParLEJrnB3OPxFZwfTlL9QDR8YEDVnygF2YD5uy4SztzKrVzsumxtqcd+9
sLmN4+RFpeqm74cnr/MPs2bPkNLwEaxKq8pOthDZXlhcYHJEmmo6oFNNI0CRSfSDFlMFlyKNksX4
3VsqvwAUxtRAGuzQjDNxEnUqc6SEUNKa2fKA5pk/4YekltUmD0uhGjoixdlt3EBswYHiz4JnLkgN
7q/YCcaf2o1+5Jz/0k56wwTBJgP4buCPqM92NVxGj8Sq4bL4m6LkDtzHqYJ5nqfRkrlvf8hkjpc6
JRSTm4RzWWoASiYOwgVsUnguAwxmFE7u57F4QvTETK0Ru9lhVLo6U0K44fBQbMKOeL0rxpfe4CA1
/Y7IvdKDk97KoLoiAB8mnweZadwZqTrMRfnD63zx8vIZ4hiAuZY8dRIgnWQlNRJdEq0H0ngr5Hj7
EbxV++TbdXygm87ZaSwD2CEh/Iz4TPgIxqVJwv8ExaM2duLsZCebjdVjj64SdfbafklYoSjNZIZv
cgr6KL65EoLCYh8PmMrnin52iakcmPLbPEzyZPYESfE5IuA4Jgy/kfnRf0qC1qevhcgDtjgWaVRx
u36ocEWUpzlPIRdHSbyml/EOFY9G0mVH0A3T1uCt2Ppof6t2yu6rXLo3mVkdSsd1GbHEvs9pPmpF
+JWp8Go5Na79+TzbBh4Py9/2YoDIgt99nWKE0rHBN6DIb6OE99vmMHzUab2bQlOzZOy4jbnuF1Cw
NR0aMG5opd3YecEplu8FG2COtBFksoGABQbl9MExm1tWXbtJlIpVh1lxOMS/IhsiTrHb/QyOd4rc
5Jzk3WtUuAYthd3NNJByAmxC+PbebB10RT8OUThazjBe84TohlcojjdWHCxmql5eGmseWNL4W7yU
T07jcaVOl9xVD8HgfFClvA9iwO3J/NUB8vVxdfP1cK5TZt4yY9IGNtb4Y6j+tUdy3XWU/dgtmbLO
pbY7n7BdsPbBFxB+BHZ7wcVGDXj33Cc/s2tVdPWBL/YLdef4WbvB9nPx8mgzju17UCdbmbt3hgfh
rIkPunEvomKp68azCfSC4KRkybzm7QbZSeDA99W+qSUYhBTNlEbnFzY0/XYendOs3DVyE1sL3sBV
Y3JOrc1eMFiTqebSfStFXm6wXr1gX6EMp8F2nuQVTY6df25ZXQDqwD1cGkGNaT6gExBBH9YI7aOi
paOk5UjtKIeftRzJuVFbMjfgrahi4uQ5AEIOZse52Hb/2tURh4O0OYVWi3oWZd8pMJ6NwKqwRk+D
myIXYTyZH1SYl5CU4yuHkXlDrr1clWZRbOIlb4DB5Z5hYeLZY6c7zpDZejLynZmQw2yyuybEO+Rw
3pC5XZIvhZo92gu6L+p/wsQ5BZEkxpNA5dd0T7uN9QtC4pdvmMfWpyZlnqeDqvtbs1KHLCoTchak
/IuZTz4PTD7oAI5iz/adv+BncmQACwNPt278DzffxCXL2bAw9m7vsDKeCXYgoqbpNevKByclcF6m
nKbMtt9Z2HIpg9yM9UKmEqlxSCosV1WB8Ze1ATYZlULtdEd88oXeGk4NCshhFPbFbTxpvVOzMu7o
Eq+OiQwOBBt+10FzVRKyBrjJ45BBvNOGGx0GgBb9kKmbTBXenU9X55rBKn4TROnqUF8oYb7G2g7Y
VXOvKITmcu6f6gBf1UgtzNCasAD8Gj2F8oaVZdgcr8ZWOxia/B8Byt2bul9KzL+HomrfxdTdmSF8
BNsY73ujGNga6HeKyzh/Os47P/ptwLOKsjtnLSlo4u2hsCpLqmrn1lCT6tB3XlSF+VyKlmcxD8R1
XeuXPkSuoOqOR7FjXRS9FqAP+xvZ9a+mIDZXcsfByAw8HIwkl9gjkc/90KlbWv92M3HDLhBXTp3N
qRzp+gHm/DYKMf3OsTJy8uaspgERUkIUm0QOwApDabJZ83TJNosoQq8dFn7p+OZxNjcDLDpxPV7k
4ohOUkgkxM88rDJc2fXYPjs827ndlxQ854QAeQ59wQ+Fg1hyj8nN6s0LMWbwJ7k+X6ehJ+Lq2awW
3aK87QVPReFyRA9Ve2zakKx0qw4Nqzbuq/4jBm8Wtu45VgHtztaHJpoAyGtwl6dJJ15FQHK0m+Up
SlpFnIx43tokCrzFdT3c5zpwtgMx8T1mlp6UINmirBiXwcff1irPDoMhiZcMIQfHvqYUuzc+YMKJ
J5vz8GrMSixIBLgwOr3qKPd/mU5ZsyaGK48y85oyfq/Szs+3qYveUOa1sa+VGZycqatoT+PIrCqT
64roXWpwWrbwqWyLsPhuFmcHvsL5REkYm65RBRtRFLfTyJwxQy7mXRB7bxD2Skv7Fzu49zaYZyok
2xsJV2zNE3bLTpcCZirAyNHiQjIbxYKhHHh1/r2r9ULLbbm03RFmblIR6VTEQrGNb7HDXCt3+ihj
K1nXHugI7aLMFxH3rKTp5HMdAWvP5DFU5KMXNLOTu/RTIvTrQvyOdHlu8gUoEU9OfSMaYiH0PIoT
07f3kEwmaF2gzuQp9TVRLCDoGTk2WgrW0RG6hpl1BJ0W1kU008TbSr0tw3HJNpNlTjzz2zLjL1sT
wk7VMffVTaNYRbix4DmGEzegr5ojggutMrSeEqdpDjFd4T85Y1zhsb2Pi5Qr0TwKANsThs6EdORM
9MNW2w48IFG7/pfI7YhleAmCQ87xWVrvXiQ2UYNLdQJI11mCAGnh3OAoBbWcZw3pNCThpkBesIpn
L3WnCBcD+hX2N/+2nSf5mojw3g6nL8I8pPf1LbYFuq1D3W89Ck/I7TTldlZ9B3PccwwqJFx+gsHF
E9cfe0dQhuXM0QljHYCqUaOVkbhc9b1zwbVHdqiBa95H3tGfF6uwvS0nz9w7qUMWrkjFM9FJ9dOH
KQNODx31uQ7JVoOBCLajp8NfyfiZDu0mE+rJ15Wzrz1gYHHSsljs2ubgBJ5YfH7Fc5Vl/Y1pm+I9
dKL4yosqP8fQvlhUV14817ty7KnvJi/6sPlJvhrVUtPA5BLuRQl8pktIUWNQJyfV1IrBf6iHS+hy
jbWzdSpo1nSL5jmteqbo6EZl+bNTDt9egzvDHZtnaXi30qmatXb1po7mMznYd79fQm2j7F4HMpyL
0XrahFP8Bnz3VPUBoZ3+oQXDt+rd8cWLrM8eTOraUgOpaI07qMLlq0kcueniMjVcY492biDAm+WN
r+psLeYctlMwcQ/sXKPaV3EApA6pk9UYjWjjED2Cz/2cPC/FeZK2pyHoGfdatqJwXotVKgl7RAgy
g9Eghc7L3TFW1ZZ74lPTgbYV6TNGpGus/NepIBludOFT2qnsBKbH4bpnt+iavX+wqdPcGs1YPdK/
+rvzZAucILG85zLJ23spaKCWi3yiRypG4CEGRviqA/smNZbbq8i3ZeS81b6xzxXXp9EP9mUwmPqC
OXSxjln9nkxbt6FXYIUDjYWgqcyt3xXAtAGftczAXDKclvgCrESUmc9/fQX032+5Y/ue/V8ud/Zx
V4f/6mz583f9ud2hzVgozow8rhf6CsDVv0dL8KiwW6Gr2KJfx/7jT/r7dsdhJWTznwSEV2GbDnmU
v2937H/jbkObMWYYyMxLZ9pf2O645oJV+VvT0/H3//1fEmuM4zLQIA0LEy+I5OX+s7OF+C+pbklg
O7ZjtS5YXEAasRxiBWVkfFPN7d7LKPXXviuGOxhSARp9W4NQYgs91UrBcaeCw3RzcZijzOJ5ki6H
0S6/0BERvcGORnGLWsUGxRqQR1ZQDeb7sW7C+3SR8D3PnJgRypGbh8zj4JlWtXZnDinhU6DuT20+
ET3EX/kly4Si3Y4/TYds+CPtcOYiEr9ksA1L7ZBc3R0U1eUoNL2aZY0GJech/o55yEKQycNbf7Jr
WJus2N0YtzJJmWOV1t1GRelPUxfzJpuaciMq7xGJroZbmF85O7zaUbGt6V0fQxYPVL19dwrhwfBu
EOlW1hgRYfNbj301VGya4zZZ9VlBg6HCJn2ww5L7EIy2nP7hovBWFu54XJzVzivb9DVx0zeI6uYh
EkGwsXLfO3rIMKuYK2bf2qTg8UC4nwv8Tg7NL6TfO7vGlc/x5LtcyqKTxMjxndMg7SxV0hOd0h0J
zIqSFo+mL6uZzfdoqZ82JcAUlVBJ7afBCnQGKekyti8a63e0FFhXFSH3hRDNo6EFY7jUeS7Fnq2N
CrFUfXJmolZych8p9YVLthSCZn90g1ZLTWhAXyhblydFf2iPKJbp4eg23ZMVcqtlr+63IeeeHkOE
DgU+H0RoIu5IBvSTamUtsVjC4Fbg3lpLiWmx1JnWfgJplYZTOAHPaS5uBppPzbqW5KEpQy2WVlSG
Tz1UPw1tqdVSmwoVMz2kPb5NCus49ZIyTUAzzEvVKseao9R4R3taWBNcy7VbpuuWflYRjR59RMav
YqluHbr2CUwJbdfWCb/Ezl5KXt2l7jVJcR5NNMC2WfAWRTPBG6zl6KzGmgfhlR3mlabXG1EDewRq
2RwkOsjaIP99akt4K6wkL/FSQGsNEED14jyMeFeWktogpnK+oLY2oL+W+OWJs2/PPk03tw4dt7MC
FYdJHHJFRNNStCuXNKsOVYOzi9riOHsSYBX0Up0LLgY/KDHaqaFWl29K9E0+6SGU1ZaN4j00+bVa
qnhhX5hbGj+BwnXtq1gKe6mTIBLhof2XNriJgbaoKBn5YAbp75uBZBjBsMlAmC7le5DM6qIXMR4V
FRaDYu0phpGy2Ki6ya3q2+thIbm6ro9ckDAGKzM+jCb5kWZooOxDfjSq7JZfflEW7rR2Ms3NwCaP
Tp8WPaKUw04FaDjVHxQ9uW4WNJ4Y64vrlChww7nzYP4jAWtbk4lr5nQ1OO3eGuYPL8pQ2cnMKhO2
aRI+j3XJOhbaTOHdwwJC0xurH9OkWQHmwoKN7dnbts2HngHq824z8Nl2tSKPubOVe8JGdhkYrae6
I0CK58Oo0DkFHCg/OhQDxtkcx8DK5D81fb0Q7xtI1z6+UmRRZ4O5cTvpfkOO6UMI60z79WMbq+a+
tVh3TuVzK6uYg5b3XI9cTHCebtK6HY+1qj5sm/usnhD24PDFj1Ik9w0LpWuFLzZiiH/VWUsooc8+
DB0+jRUCudvHOyOv27e+Lq8hQwBHT2gaupjVZmQBs2/HodyNZHa3Gc8IOFpet9Ej75+WQ33xUzPn
HONmfJ5OXH0mTe5DCQ6frEQ9WlWT3GYzJl5vsULJ7rNOklOX+/ex5xDcjfnkgsh5mubkxopyly02
/mAwxVzZ4Qe5Iv0dE7K66xzABqJkuRNQEw3xsArXaUM5VysDnhYGyKQwAJw8rOdsABgjwN4Sq/b4
rNdVztJ5GJcVDD4f/HfSOhTpCGjaG/SmFFN96GoD75fNspKh8M4dMDoYX5x2SRV/jhZZISz/nKhW
Tu8HL4M5R8CQuC+wFoLvKezgBWszuY8RGbOL+fcgo8xn2aa/hcV9liDxA4+DveRtTFT2FVblFi9E
tY6AybC9QZC265wgvjTY8lnQs3teKIN4SoljzFBfil+Nci6+B+WSGe2GCZwlG250YIf2DdQNUhop
OCBturCxYhwYjvUidAEcImuw2ufk7ByxK9sWuw6DuFFnbxxUK3wMc/PopsykYTfBQSvjCStqsOEY
a6/tKbj0Rn3f0ejlzVjerD5t1xSWlCvhDg9RwTk9DNyn1h8PYSQ/yb+++7aajp0FDXBauOiCYxPp
S/yJCOis6OLahbkxm3u8vZzsgrKHvwQ2FxcJJFyntG/yUOFjjZqXcALj1ajZ3TuxTLe2VVanIaz2
dsmnSdF9+tILaZxC6o7OodHVD1hFIzinmXcUE1SOUm6MzjrVDlDWnnSFTkt3LT0MB4GpCcwZCWbx
iqNIOvKhJUptrZTyB3UojZgD8C7XSFjlIMptEJYQKwntqWUTWM0FnqK6XqMRBCs6T7EUzAN2lb8+
BP9P1UEd6IAIl/+5BXxd9B9N/i9NlX/+rn+Mygy0gAmVEK7JF/CfR2VGVxvYALlRJuZ/SmFjAl84
hP4yZDt/FBr8/1GZGgSLfZJUqKGMy0zRf2FU9tTSbvpPo7LpmpZlepbtQSqUXPjLKP1PJnD2WeAO
ZEEPik5PjrOkX6Ko2/peuc19/Lucd+NNiU9S9jXdRhr7MAaRnTfYtwrZlM7D+qdtLZ4RxcgdpsSR
xR36MQ2Tkw0ToHTNfb1MavjH3rSM7xqTre2Mo8qO3vyK82Duynt2OhiOygpXuW98KnO4zbphx6r5
EFUc/OxUxOvFzUsx5o71novP0X5Kg+iIr708RWoaWZFPZ1MDMKnnuwRLPhBy7s803wESNcrf7pRs
jCSZLy7kIhqo+h1s3JHsjoWRm/+zz/eJ/Ji31i3+VyAsLIrmfOsUwWfmlCxhhEmGMQKa3hYnxpMH
Go9oHhgtua6qCD1x6m8wcj2kI6HfzOeL33T08w47YfanLs0ehMl23yv9ax5QKhlVTnNIEyhdyZAD
iFOf8xR+4oLO4FKNl1ynj2Xv4Vsg2/mHCFzWR5pe+Mnm9j3q060PXqT3e6qGJlym8ot8X7Vmy/07
nPN3ng8khTMs5RSYfTQOCoxRhpLUEfeuxKE7jGl4FQPJADRBoL1vJ2PXmvGw9uyZek5EDdxHLfKB
hUzUuxaIeB3/xrh254JrJRpnvja2fWvpvmNb2W1DjzlHkPXEn9zCUR7604TFc5Vq+dFk3rnFqruP
a0zTdawocs/sd2XYx9lnvWUzTM1gJHA9NuU+T1LsbQLaYaZwygMb7tDjwNlO9zNVuzwQoBUXxTFi
8FL4pNPMuEKc3mH8oX2QjV7FEg9HSwt4Vj8rbrdERgMORNlB4qQ8m1PwFsRM7rjU7F0DvHlBrxFJ
Guoel35p04NleFsFCkZT/uWl/UOXwhbGM8kwrIkBAnn81Wb9ExrUdwvkDQQUxTQB8d+KXVXZ6o98
lotdPX4YHewEuUyuYdOeGxm+BoVxK6zgubJ4q1TAesLQ9s8EY2wzkBsC10f7j+MaVFnURLMyvLPa
IjREv0OhlhdnTTYMxZwxs0UmzUfrHJh5uYd1O83Fboimc0TZZJP1194394yvztZoxW1tTxeRpbth
XhbhWp+rhLmvUE+yjO5Jgq0LF27whKpYDmc3c4D1o2CXHli4tK7vCjtPOM3iAdPQjcC5P3TwtfuC
aZNQqGuZwaGJhocsR+INyozptM2PlTAepsK5VBXBVLfd2HiE5sxhFlNOCrGlZvmegXBe9CoRjy9C
qtsuohes1HbBmo0dPN1twKvciCOmO+1sMJlnwxisPYL4G2eq6TzIcCJgggsAmwM+4xGvowgeS7Ll
FIOriym8V2OkhlEgvXaePtdJujOc5gY8V0ciO3nRXVhsnBY1rA/Ms9ONz2YkXysOCKpV8Xn2MX4Z
Ay7uJLLjY1rzJPVg+6elMHgqG7CE+Z5go5r5sBs6kRrfPZsVZ5hhoS21lr4ZItJ8M0b5MO3zFVRV
ZBe/AaBm/9RRP+2HOvnRVvKBUZEmBQ0dbDGOxFmLDZUzQaH91w4b3yYFjj2omc3zDEVuoE3JipwL
JpZNyDbXxFHfn92Zr0XRdaBh2Pezb3wmBHxvWQouMl/0nWWkwdkrkH1iw3ypxYhFvRhD2lwiwtuz
pFoBaEbvwA8nTi9WFSwDI5QLIac6Yrl1Vn5Oxt+t/HlnlSno/BG0rcklRz/2dZKZve6kjW9CrGny
2A7uQxTMmhqL0CeyFyTbKRkeApeimTgYH/O2uQo/61dROPFiFep/7WCI6foxpTg3v9XtyO2n7J5A
cQW4AvEq+B5H0AUVaFfJXYIRmtsLG+GRUtyRJgt+ibUcc9KNKtmZqjg/1uTez6LovyKSwHh4DTrc
wELX1JvFSb82o1Qy707rShYVFDwF8FCnNCzS8BdgAy26Yp+b6kRS/9jXyVPQxW+AMDcwTx9tn8PX
JPYF946KD6I31KHNQijQebxxGdA5EY7nsoZqKxBDqSCghjXfFfPwpToTJ8Gwxzp8m4b5bY40DTDs
l1pAfV49IZQXj43ETttmwPCMefZBfozvdqZfnLlaKTMlR9g/mlFEgbpRXJTHCp7HM0qEcYg9eExl
f2fE6oQAf7G9+C6Abr8uKwb7nrRiSZrTtPBHYE9nxi/HfptPRrhTKKyudt6y2hjBBIlNOhg/UeTt
OUXcVHHzAmOw3XTmfBwWKVFiEOpCfplW3jP/dvv/2Duz5MaxLctOpSaAZ7joLvDLnhQ7UR1dPzC5
JEcPXPTNTMpqQjmsWnjRvIxnlmkWn1WWn+HhclEUCNyzz95r41ChsZgPqx9/5lgLKpslK+oEZRWU
5mQi/gTdVW9Kmg31sVGrYiidk0ZUcgGRxLvjoiVT1uTDL1EDBM54uvnI7hQltNw8yEtrLBiQZ7YJ
u/0kLB6tUIiVLtLtoPf3vqRKiODZutZEtE5b9apiuq2d7FdVd2dnSMuF7vY/u5pZHH/aO3ebpZLd
Nem7K6kFNHxr7hequxXpk1NcjSYhnfFcY12vOaW7WXTL1Li1JHtIWjs3eFxw9lQtU3s2K28FwFQ/
TiizTRTLJIzkkhdThfkOF9q66dIjNJ5XNvE/Y+7duzoYzk3czmasp1H7Cb+zzk2KGPXxm/v8piyi
Rw3PEEIKFowWKZOWAlQ0clDbrDHWqc4O25ieRVKOTFUklCKII32b3Ukk5wtuiOnSqvtfbTfOtAYO
ZroTbN1J4K82IYLqE+ZqL4UC411HVP1amekKeHy/TsB7lpX+leL6koa71tpsR5XnMaaoFQvVk5uk
pyYAuIoBC/t1vg2sfA+qIlzC3MC/VdTVl4N114jEAZ8xFyjMlMw0H7UofzcjcRGO9cRSRW6tBMt5
W9JfLdzgIbbtexPXn3VqD/h+rUNaxL/gdT3pGpfKkNhrvXAA+yQO65DO+oDgkS6x+7Cr0Se5nYri
5rsYf7UJUUs53dWmVKvWAdv4MAcSkZCEaJJT39nbIuHIqk0EVCS1oNNId2DgfVlGTIGUbLnPxAMK
XiR3TlKeM7jOXl+eNWANQ+z8oj18nXQOCDqRfrQi4cL2+5MOWhEQ7g6SEZ3KwTNZXfBvOa7ZNsUg
Zuga0UFw9rkhfsiyv8eq/nLMZsSWAoqvkuPGrYiiRCK6BtE07VvaQgFpWOGhLkNy4A5Q+9xj2s0V
thOQGsEoL6jCR28IxNo2gUPW5rfntm/Y9zcZBqt/Orn/Z9r7k0avG3MG9r+e9rYf6cd//J/or5Ff
67ev+n3aA581j3quxPrKSCUYt35nbsl/GIZEKON/sRwxHebAPxYjzj+Y6ATbdeM36Dxf9MdixIbh
pduCZjvXkqwjzb817c355X+b9kxO6K4pbMlk6+Ki/cu0N3lJbjm2h2iZ+r+mcjTYakO78fwj0VmG
NCEIcsjXACKC5tr6oe5FeEgGpT/bnNq+og6IlGtxMy4zOsVFUcAvoklxgkJgIXENFJwNSLjrsEmc
ZR55yXrUgQygJn7EY/WGKHdWSF4PPKAACmX13YziZC1tUEWpqNOliDUsAsrD/2fj4WxKzK5dVK+s
HreNAc0GiFA/lwRRfSMY+mr1VMVasAw9oDsKRZK6EoQaHf08Dnm64anAf9Toz2mspl1f61jYkoFj
SHBNW+tqYSsx5t1lBkcHh8s+8aPHbq6tSiczXLgmZ1nWG4ylVkV1X4DbSSbxLtfKb7OrHkPMShvO
SDtuswJyRPPD8eHA9Dy5kna66VN0lh2YLqPNFrGcftBZZizbCoAOZ+J0Sh4mVVwst/hKpTUsgZPh
77LzfVFrLwmRC0wmNqaEqCxX3NER/Fj9q5gmjo7tfW3yvjZ2xWRbnsamOOtRDbtI3AFBz+Oh8VUp
wOtZPcVrMYUbYUi1ErrmLjyl3evRfvSG/HkCiICd4TGZVAUOq3uWTXyRIU+ZlANdbuvnBL4Gi5fw
bCl/VwJsJfL8oGmglRQn7bRNn8SQ3XA07wH1H/SCUFtmwvfo6CRYBHVxbxx3w6bhRmfpOh3Gj7ZA
y0r7b8uRT2YZ/miDHImKLTRYEf005cCDW5vcQRY1j9CXv9KRQ1AdyQSkAxJgYDsU2DorjUdOo/zH
2s2JgqPdmrr/imGxXmTu9GbgN4T9yuPe/DlKFIy2Ea/kBH+y5H4dpnGbm1hhhXwYq+a97OwbUuu8
IXF+lY18K3SYb16FTsopqy0pVYyKoVukZfiU9lwXpvlq1tW6AQ+ykjn7KqPHrArM+yfntJtyuJrt
ErGOQzafkerLovAVJwrvmVlEe0/HbTc62qEdOrXwSvFMvPUXHGUOzd6M3i3VDxJz69jqh02c4bX0
kJR9ynRXtqaeIGhw2rS6B8MB4qJr6r2MoYzbNc+QoTxoTpcvMw0tJ4u+UqPjbJJTNh66DiyYeDNx
uCRfPr329nhRTfCp0ugHz8HHjL/eNZxdiZ0xOnQYliZsmIsuIOVumYz3foeR08xvdTImSy8KKYvm
IGY4GiTI4FSygTrqqmNeEsIrrtOIwVof4y/6h35MPmvLYSSax6H4QSPntPAobeQgT0NYCTMUxlZz
9YgRP+FJ0W61RgByqvwbBCWDXoLWfmVHBao4UzeRql2MP40Wl2SjnBxHQP8K1pbCMuMdrAriTvrm
ifA99XLIUa1IT3XaHth27FXh30oEpkFhLVVRgzqV6Dup1LgiLhhu8EfNXPo2XlJ2iZDO4/1S++mF
dM+m17D5uhrSr7Nu4uZIPm2nmc26w0W5UmJ+NxJskHG/T9rse6i6jT/kL2VDw7Dn28bKo4t2R1sj
WMLUfTIc6sr5ZBnrZA7UdyxVCjee6WYWdD+OpUhmP1CId3JCRhFRfmwZxI/W4Iyrmm30oTCofGyD
j6Y0DmzA0mVSa/s45eDG3Qf3ReZ85HWxiYL+ys+35Da4M83iUtSgfCq1h1lIRMhL3t223Ghc+ua8
tKmsc0QlejQy+1Sj/RFLQHm9AgTTOUCTyhakvYcp0Agq8KfatsRPskSOwOCov7ucaIn/hZ+Bg9kR
7XI9DCBqICZcCE0xEIe6uiYJqwJq9N4HRQ0vFR+l6yJrWHxiuOPFr2TQFmkmnVVm68fcLnFSsUqG
B74pDBq3dK2rH3GttBsh7LU71JwxrehImVC/lniS8nkVFzlz/UWeTP4yp8Ep1lvqnavsklAb/VLI
8WdpG+fcYGwPrFitpIA0UHF+3vbFULECNb4DFWlbV4Pr7XSYeHwbErRD/nbFpg2TY4MGStZtG3je
m9P5zTqL5WNtWDcq1EnO2emNujgnO7U6UEOrOfb5cA7aZC9miNck5Bpvz9rsaIZQ/KkmyuiiZPUU
OPnCdr2LF5EEg4893uTgnpxg+ja0zrlVKIZ9obHwMaeTXrFq15y7gs6V1sTCdd7XcAw2DXgrcMGE
iKtquE2xOskgeLPE8CGCCSsVrZ27jmCWHWufncTKUDbHSi+3ghAq1h8yEZFx5s09jWb+q49RzTCR
rZRVvxrDqOOkhMgeBYQA6pHrXqSedwr5NLtj39445ypGzYCGO/J6u0Fh+iSUt+wxVJ7op+1Y9Y6n
kgKCfdBqVHVBn6Av/NrVYM5ckzUdes2Sv/eUBM1DSUZ1FUugx0UeZMuwivGqlkffM19mz7pCeuwm
4uYRj5yLR+vK1k+jaW+15sHBX28kIVAFI/3mSrTOmZHfODcf2bygykzixanAM4eiOqVm/Chj39tk
vMv71AeNILyqvxFXpFGmaY40tt8Kq3m0Iu+7lM1DEXyM2HyB4R050aH9BFA3DUYLzSnBIhqV5MPE
oQpZjKM6GkBZeSiifbpNO/uq+hza3GDgsK/UjySKGaQajFZuswM0ry2raJ71FIUPPfa6YSgIvheh
TnFZUy5VhA7kJv4TebxkGTbRMQ67ZtOM5pPZl5fSFFjacqQ8EIZ4B7u94riAhVd6dM/bOFQtzBRa
rQdbmg3VKuaDtcQ+YxL+UBevtR97F2DvUGHLrosKA3/LGYNMA+kAVWMAsbDot+KtaSdz1Q/qu8oc
yhWJ8bMZnFZBlnxaTC8cdwjQYLA4kkQBB+2yZJ1LKuNRwtsPPPyTSE4STyUWOwUBMB++6iz/9KyA
UCI7Sa8jHDSk6UfpqnPQK5rLnHRiY2AfOMYdNd7GyUQLSkePMCY3QkD19HQN+IcH421Mi/KUtxmo
7RmCYNiWtooCEPuR1h5cunhXTJ8L5bn49jE0Yk/EECmmK81fyzTKr30EOdlIqgsMAHvLpXD3VH3l
nbhSsY69u8ZXEXQXtIN+mxhUjNJz8VaXEbr5aLxHJiOy1OEDoMy89K39lPvOD/yB24panUU0A8Ns
keB0M5ntYDpUkJtiu7bmdd3PyAQcMfJEMLyOWEahE2/VrZKrwoeOkBTY5Zs6uxH6JGmRM5kHlRFs
B613lqkqOgZ88sViIjPx96e+/weNbjq44v9unnv6aNr/dfqovv860Zm/fd3vEx3WNNObi8VYtbm2
sP9ldTP+Ifhz7Nr0heFqsxm2/pjo3H9wyCHKiP3od1TynxMdVGYTqCXWOahLwJz+XpBRzFa2/7y/
mz14zIemR1HxPND9m9XNarRJZn0AJySBbKDgBUpmMlXWG4XVFioG5PuhvxSclhauOz6l+rBqJfsR
Qd3gpvOju6dlwSpqSP914KBpBJNfwpjuxAK7R3viGSaBlyxxhE/rJNUS3IPdA06XTz8cnQ2AqV3a
sifkTX00VIGwKS4WLQ5OZZQ0h0E7C3zqwZS1iKNxlwfaziiTPbanHq93vaWi+hEjRQaC+TYR7/2m
iM/aDgqbFAHvYYr2A6PVSCYP45nxjZxociMJID/lwn4Y3PqSZhSFGFr/Ho6EsPl/I+u7epUKe29r
7WxDCK6JIrCpKWg+wPMxUbv+ouSwufKm0VzbOIzWeTb9Khl2QUV4GYkQVk156Z/RxX5CNcewIMZo
n3lJCAsouzNWgmK3mw1aPQVh03vUYkjp6l1uyK/Ct+TSyuNDTA8W2WUs81Pbosc17tn20KfHrj4R
grmhdX8Sr4c001kAnhlH0FJDguTtW4AUJ5gaADZwJLVbQoEa4f7cqJ8s+LG2xRGxiAEiaRF9IRkl
bSoj5C7rBiSWhvqXO+GWuOlBwJdfWNl0b7XsDVQZsT87HNZui0HLs0hRS0WJc0eVTM5SlguJd8bN
+1VoQ3iXUU8fvQ+Es2yqdao53MQ1pvFak/o+AeNAlr4+4hV8rc2+Wrp5u6EFZmHa0V6rOF+VqfWR
lfFXU/RAHiPzuaJhLImCty7wTKpSoX30erSPJ++BKZCTlUM1s4hB/ARGLzaDPjetOspnSTp+T8X4
FbVZCDYeaIM1EM/swg2t9azkdP1gI3DyTlDGZBfxLhr7s6vj5hCd3JLlm7vGK/B37D+nIfikkq+F
NGxipHanU0r6cxlbFSFfwn+rNuiZGMjZeQqQTT7wccIvq8+oj5E0rtqI1GBCingEex37uERwnNN1
w1+h2O5IzRx8aZ2Tqb0FqdK5HVvpIQCHYPQJ4goMW0haTxjizzF+8NIcnSuQqj0tdsQLh0Ov8nGT
5uKN2zi/lAyQQ2A4z2y0PqlhPfcmWCqXOXbomq2W1lRndPUBsuZ7qVwCW+aP3nTOkYfvS6TpVjXx
RugslBm7spSJjDJ35E7HpMne1Y99lr6MXfEj74j1oRusWIPqW6WKTTKy8+pbSbmKnF41B3mbo/AK
xlO+6fN2O8WSMqiJRddUSYRib1q5I6nmGd9RkK+tc+M5Vp3YpbL6HofkeWhLht05jwqTB85S91wQ
G5otcc8ybxIUI+nPUc9jpxtPZlpd8P7ToBOF30rvvgtzZgT1EG3TjNBCkZFfhtn9YSsCqF5SfKms
bFcx05Pb+tWqYA23pK2XtgOtw4xJmFtBNdfrnZkVzwjJYJFxNfV2ilfLg32pAhphvG2GpF5OijN2
Ya5Em28x3jCc1uapwmtEDIZdBoQeZh6MSYtaIvRUZs/pPbF5Z7toiZlj19CGBc63sjbx1L+GKDdV
7mNNi3Ex5WrdgoZ1ayB61DRr7I97xGS74/2d7O4aTAnY+WSEsssZNzAEu/HB2WU5GeW+57M1ePx7
WT3XpRBTGev0I9eYXsloN2MslzO/ikr0Edeg8SxxMq3IU7JXllQcYaCgwhYC/RjsrFH7cugiXhSl
fTH0DkFiLmqrO5cjSoKOMuy7Hj++qT95tp4u3KzFNk1IXHQl9icmh02bJ/p25M3LYPWEWV7vBhfX
UR7hsUubdJNzszmi62xEkh4rR940u3+GbImRMkFMMdpmVc1Ok0EEl6rp91ahfVUivHJEPxVaczFo
nbc5X+tjxoFWZewsp2ZH4ThHHyOwCeVONzCWMDbNApImFJe+BEDiVuHRN/JkZ8X5J/ucfVuOCQ3u
3c7uHUQ6rb9BIDoVAqqFdO70x4QrRqUVQXa51HT7YvX9mjsL/uyqu8TTMM67TYON0EREnpui8Bvm
/KHiJ0ymV3IGTEf+NKs28Tb24mDNoM6K1GJOpvZ4mbJHxrjoPrQiYFjwQL1VPR1kYhzeeWQ/t5O+
i2J77VvdpZsRrp42YHaxg7XmTz/i1Ah+TQFK1sCSdFu3Ubq2p+rm4iRPpvTY/fOG7+ssEey8WQVJ
fFUIOCuqAc1FoenbMifRVHQ4bYNqpzjz6hxBF4ZT64s+kb/w0YCZwxTBNDFtW9OV60CY2trOdOjN
0wAhh6OC8pzko8d2iy0INDwWzhnGtu2b6YxITAsMzedu9Oo63p3f0bCYgboKWwy28PLZ7aDXdIoM
+pg8ys5yNyFHA4w+4wNLzKNZtR8UMjLJsoqq4e4Swj1jDILXlA1Xz+czWIpdXP/C4L6MRUbbWN1s
3ahfW1EErJaks0bynWzYO8BjYN11lR/DqHgZBvQUhJ5dbaVEoQoxP6xh/nvGa0XBpemD8A9iunjw
1OazqzDAwc4xhT/DKlR5+m1QqVxVfvDWMxVZabys2z2SAQZLGu4pEQpwt6/hXyzDgmuI3ktlyvcw
wHUbRu+GATZw5AFrT+5OZAyTQWGtyQLMpuZp7UYKVZUPauih1rRg5HMtkdgDsrPWe4+ZRDEJoD/N
hXUYbsWEED0EJwVTeQkXe2untIdV7CD7lIrDChhUaA43bQwcStUszH9OeyQfSoy42uoRPm/y/wkU
Mj+kyT6Jn2DzLEO4gXwUN6MYYQMKHoE2EVuHo0T9AAhi2VXta6U84EDlJcMmVDcwvgOoBFp1TaPx
B0fJbmGO3d1uOVQylBwwebr8ROZReBpJ3cTHr5r5lJYSn8vR80AMEmara/fUAFMudfmlIwcsjc5F
gpkENiq/G9dhoUD257PN9dku+OBrnnYtaLCnUNzfjJU+EX1yV16s20uADbdIi/ejGTx4AT0XFoRd
mvaCaTkQa9222GlXljPbgBw8XQMbgLLO0OWIkztTTcCVQ1IgtAsQz3uVulfLZc8nCDuVeZgu9QGu
RzjxGUB+cfHfWACf7Jd8CAvYyrW3qMklk6t+NVzwdFXEqUT2VDQsQ4yvW5ErdqIqYETNfK7G1NUt
yImJ2rcZCk2N82gphkr8LLTcwApA+1037EoRnUojO3O0t3dJ0dzwAouNyDVUxSH8YQd+tg4HXKBm
nz0YE6YGJ5JfFmBtKMXkMOIGewIu+28j8Y5m4rr7XtX6wec+vNOMHCbE0OA5zoiLpI+qrMi/QoZG
JpZU9SbOA7Y+0NxN+dg5PHBGO517ZbMt6HKmbTpGD7FFBDizp7cmIRuSDzhCtCi4FhMSRUbZ42rw
inoz5iADKxlcbJ6WC2cg0Wwm45eMjVfVzgA9bliArgzCErr9iQdvXfIWySk8I2ihbmAGp6LTWkX0
qa8C5Y73KI7WIrb3dSoXaKcPg4KsZjbh1reDD9QpnDBFEvBbyN5bNbQEHWZIq0l5PL0g83qiesCm
wBrc695w6FOR5JevfQhaRTkpHUtdkL3EJNQTJ9lUQe9Bp+u3Rjgy4esAnAq+Ozmg+aAMLIuRhJwc
j8YsDbsdOcUnj6Q5PycvA/cUtQwc+xLfC3HLyy/urC04Iyi3qBRWyR1tsIjHBCZuFoPPjIZjJYrT
58hEn4C2HyzqUCDoxgG15KhvCzl2SA/WOq66buFzbQFn3RRNdgUvthrj5Chlv6oruAZK798HM3zs
nW6GN0X7hp9pVeMVynr1iQhqbIo+6bipYyjLu+Glz0kH/n294P9XT/A8Z2OS/W+2xEUV/5ug8NuX
/CkooBhwvwUF5PBPzTva31fEMzPJE45umKhSfB++zR+CAntg24TKNO+A52//x36YTB3GYkcXWIWl
gDTzd/bD0tD/XU0gG2iwb0ZQQFjgBf51P0z34dhqM87RCdqL1pWvWhJeeyLgzsw3bmH0ELxzWVHI
w0gerDbuVmqyRpH5MiW9spCcJN3c5Xla+GfC+bTG9trVh0OqYdEy2o4WmojAkFH464wDl0R7BjEy
+yVN/WBEzMkJPpiOOwsYVWctA0ENTY47kFpLVMgViXbwDZiHgZoGIFUSGv5Kk9Q/xwjOvGR2InfY
O55z1L0KUmm00+tsFU+OsRqDY41XzF1HVp+zTLaOBr8Xd6JK3NuVUCgh6XE6Gx11xBBtbRiRD2Z3
xwqEw4JaIqfZd1r22MvU2aXcz4jqUD2t5f4+EqQUOvts+fIVmgzFEHX9RhqdQ7opeBsHjXKLL+jx
28KCtu04ZGyyB72oTjBhDt7cDatG2ndH+5Rnxn4SLN/I9jIPWfm1GsV+sOVJawpm5lheJjnwxCfc
qFO/mTsAJSHJ7gDztne9oVUuoO6zqxkTeuDxVMcjQYtObfsIErI2zKcF3/nAxvuR6Mkza+7vVMp3
LfU2rLNP0D1Z+WQ10YuhA2UA5SWYXlrWjTItl5iH2pVe0csVVap6xEj4MY3GHoHpWRB8WtYWG/IC
RaGfCK0lYIoLWRxbRddj7MdPY0P7dEYYpDPsXR/75wxRmhPoUtoAOfHc0sVAADFLwGLiacsgenTL
qgUI7OL75v7KHXc6lK2O8j5QJdjYxIk09h1Wfehq/xmQwmXy+mapzOxnM2HbTfzpjhN3ZEzjmdfX
eN7cfqXb5C2lM70QOhr2kpi36Xt0ATqE6eciJd91eI1W/2m5KOSu8k+iM18CtsIotXu9GhS4Oog9
o/Foi2m49o1o8fwFH+BMR6zk00Oqhz9ij8sxpjNbOcYhaUPiIQS+hkF/4Rp5Nqf8TOfsPtW0S9n2
yT7XudzBgKGwaBsrZNlpifxCmOSagQJdEsK7UTtF0NmtP8LE1R7KcfzANRJCWyk2RQEJo9MwbipF
oYTMEJ1YvOoRUa4q1bhy/RApp533rbpz5e14sjzvwgbaJbJE46BjEE8qNVVikeytbZo3dzGBKKDg
AQxOND06A5keSqJC1PTkARQfiRRXqg/biS+TzfoeLfEzHViC0jND607Qi7MDo2ddpWzunBItZ2pm
5kMkblFRf7Cbwn1Yc9CXTc9Y7OTGqfLC50K1PO4y0o2VsOH6Ik9iyyTpTlE4HhBrVMeJFxGmRNN9
N4hWEdCMpRlRCpZq/aMmEagyDe9HRU8tPo6inZ//eIV7zFUjjZUreCqkswbXovBhGg/S/zKNpmfc
yRD9fFvsWBsamAGoZrVCFMQxdHg3PXnU8abNoGxNyVcDrsB+BDvFXhopCt8oEyeBr7DBFCwD+Sus
6vEwGjBgyCBj+nTm07M5FjcwBO4GtZ+FwSyFaj2eBd8h4Bg76k3MS33wmHJXpfgr4yDTsSgOjzaY
iNM0wYwnbXU0XJ0zoPQvWcVPQTheQq9JJmjn7avD2SMv83uZAkl3J8O+lEF9KR0/3jLx12yShEZf
Dxwi2F97TP8EW6tNlMgLJ1F8dZ7tHzu78w9xq7+0WovkYhVbT9n3SHKMjkXL6cvrfpHRS+cIo7Os
FHNu4dj5JjXqFGDc6GN8zWn0zS/TQJcP3+StSkGNcldNEveuO0n7EKalRFLxqPZ2CndpifB5wEm6
p8MIA62uc0cZYkyQVbPpLH/dhnG5ISeAJX3QkV18w1r5PWolR6RVJxitXdA4BIHjkteVd2W+z2Ic
F3RFfUY1up9IvKVVcHpKNZ2iY3hx/mhy9PX3VgIbPsuw8WGJYdwXlIdJVrOLcoTOYJhfojVeLBdp
sZzPf42sNQ6k9otW4d9AYH0dcAqsVaF8oEwuoa7yRwyMZRk19BYmEDrKPHmz4+Sz9qJrUdTNxnWQ
X8E+fGbKvEOjB/aZhC9WQMKyHQmedha0pkFrp73iUbJsvFBsA1H9hEOxrRKGLd3gPu4OwM4bpO2l
Y5MiAYh/cOL8BPIHWN9kecdywCRj+IhahmVGR5ZIjzU3zC3thyjlpup2eJ4/vLDjSQij1wofXRSC
DMEbNbD+rLoqIkjJp9eFcwENbdyGBIUoAd71rv6Cv8pFFOSttxCtuCzvTsQbwlefurRe97BZAH8V
a2saXpq0/aq4aDKPJKBnt8sunY6EtPmUJv4KzisGKWsWJeGwLVMnuWs5F7Zm65e+M+plluMwq5D6
ikhSNeOsGel3ZExtylBan7LA7kwS76XWk0OMAeYcd+rbNvSLxz7NN/kBzNT9bOLpI52qs4bI5TSU
BLAY3mHO/sbne60MDvVQExdSH4nChvl9kMPPXLT7uudeKjSPrHezTQaCz0HuvZLNO7GZ2esJ+/84
HC+a4h7W+NGylw3fNNCvtcfDs1cNG06/SZeysQkBpd/IES80qpNIFMlXXkFrM4B0F9iv0nGn5eJW
iH6POnYqEbikTE6T8L/I12yndPy0ScAXUv1QKe7UtH33vWgXNMZVufDlhYXhtB7CDezA48Rmf9Vm
Ubci+flc+F6MT6T2eew5D+kYfuZdfNKzYNjboSQS4e6rzl/CyGeUI85f81rlRBsCvOCRe+/INaR5
JdgplBOb+IzP3kEh2BFfVfQts0V+6E2OEB1yiFObbCFGmaxQXvkFi5gOSI2Sh6F/SSMI85RIbXUF
S0AbxDmuPCZG0fzs238SXHGGG4UDC87dpO509/AsrgaN3i+7PZcpr8nOXrsyntkw10wLxarE6dpP
4h6S6/WL/Igpe41/al9yS1nMCvyYlMkm9Y11kWjrOtBhVynjCzHhsa4xGlb0goEIG6gvoGP7oa1t
XrThnA0ci4sKWrk0MT1m+SPsa/AHyr4UZfecyO6tCbIV59In4QcP1WDRV2IzXaL/8WU1h6XulxkG
GpHZ6RCFPNkdrMZ1Rzt5BK8RFFgx+kfCeWjoEb85CxASbkNyuFVOI3Jh5KQ9k2ctqtjhI2hpOex2
RSgNRJK36FxzWAetDoQm6GelzXrTqAVcyQbGUxsRYc0xG+ZRe8hMTW185lyI0ObaB6nEobBhJPQG
bxWG3XwmiWgfidobj3BoACVr8QbDwWvjO8+eS9tTaH4EQVEzZKYEmhqiUCw4+VTiCOQnhi/Xrd28
TtcWylEi7UenEXAn9b68usQX+MVPn2H8cypq8C8NMUJfBfrR9RhQy4BrpWL3mDSEHpKgO2Lfe7Aj
/O1Fhgb2P3Ppn+5lSgUY1/7ruXRRffzH/y66v46m1m9f9WdWVej4LsGwcBtgqPzXrtuat+CGxSIc
q7ItZ5zvH6Mp7uW5EpSYm00qFR7Mv6ZTplYyqn/6mk33b02nHv/SX3fdnsQ+jT+Z0KqLsDpDff9T
VlWVNrlFQDXLMhHw2+mEtbsk2Q0FmlBLYM7V1LMfp2KLTues/KbRyIcTY+pgLS4bnu8BkurCMasN
Ti/uQgjNfrJO7PA9o3FO74xD6DRPbZHeRiYIOmY5MbqJ9YNEhlpTnAiDosX7xX7moZFNthoVBTU4
Q6BCYefQBvlFuxGrTExineU8daI9EVHAaOSPJTEHDGRGEY1HDmDkxWetMpE+jhqn2HKCiFgXoUYz
cvD8qicAZWP4sylnm4prbUm0qKPsscH4iVNuYva0WJVsmGHJBYDlFSwK/MW+fSJX5t0S4HzbSLTJ
SWSEvRKYs1MPSryY5Ot8X47leJ5s/wVAAD+yccwm4xJLZPS6i94jvzloBYf9QLc3Yxn81ETc0M4S
HpTufaH5EvCaFM+DMhUM33l9ELWxGmzSuwEs3FWvB/VujMTMqeRmFSUXo86KFSvnOTmW78OeyJYV
lrd+DO6W298IHHJWTPM9NS0UUIT5sqJEb59MJTUteUvcih1Jazsv45h1x4LSA37RDI65NpzMqDAx
RGNrIv8/WoNCde53kWudpzjH6VMLYiFuv3XC9FmM+TXu6pvUc1gmrY6JtdxqUh4bMvUlJkS8SsWH
k03Q/FX0mrdxujPDEmL/XBpgsKB2oH7axYDHyPl2CFwohP312BEc7LwLwm49b/gu7D9NNg/+czPn
NrQ5wdHNWY5wTnXExDvcoGedUcKdgAsq5whIouqvzhrvhSGoi4Y5XxjERSojtFh40gMz8HwwZgyG
NR6dEcyl3bzkZE4y3G8LSQolneMoGqvEkXwKRMTNYBTnFiuDJL9SC3vnz4GWpivrpT2HXPr62ywH
Y4PpDbFGr34UHSpjYTvbhoRMOkdlikiniL6uTw4pmpI0TWWkuCjmgA1Az5s5R27kP8M3cwzHII9j
zMGcpB3Mw0hWp5aFgi+TP2XYmy3SPOTvON8yQ+W5e1dz4KfSM1oOyQDlcxiI5fATBrIL+dx3AE+P
GamhXBEfEuSIJFZh0BRfgV+TMGr0jHE2U3uL9FGrSQhMAtZqE59S8kmdWZ/TOa+E4t1Nch2mAzs+
/SvhK5FI+nUzR50i6JCV65F9olKH6o1rMseiPPJREzkpzec/ujk6BXjulzU5/J2O53cfJnejiYeN
2wZL0CIseMhgzYtjf+7c6KOtFTs9qjDH8n4Obk1+Ou+To8fQtjYR2a7/S96ZbEeOZEf0i1DHAXdM
25gnMoIzmRucJJOJGY552uoz9Dta6LN0UWqp1a3Ti17qaFG1qKqsZJIIhz97Ztc4wsZNzEJLFE8d
8a+WGFgaLnmwyf20CIh1BMV0FX/02thWAZzpaMmTFa2XHMA5HaIla+YvqTM5UYxSLUk0VS2Z1Gnv
E1FLbKzLRNbABN+nS4YNSeyuXVJtFfG2UJFzS/vxVrn9LcZGUnXGj2FJxIlh/nSXjFxDWM4mNFcR
notU/dqA999mfDE0YAZ8vIf3mcCdFr2JRZoym0rLi9Scxj3BECthg9Q18zaKXXOFjXn8nS6hPqU6
/71O0AfLJfKHzafc1Nz1Eoz2O2wvX/RJE+/OqQteIoMzzl2L0Y1Gs11jhZDdcB/N6iXoQrkxQNmN
S/wQltxRZhkG7Lh5VYl1jkkq5iQWR4eSgyXC6JBlFIh/egk3dqXst6NF4FH4iA8VGUjZcJfKAFcZ
SzzStdIraxjo6/5JkZ+MyFGyGDzaS7DSJ2FZy+pu5s7ErE5fk5kziIxbR4Aeqgub21QM8rEJUJcS
4pv2kuP0CXT6BDs1Ac8oz2gi5nifx73fiTul568ZQ8XEVlASEMU3z+NAZNScQz6V091QRruw9O+7
xLjKjupqOPVtyZFm6n25BFDx1BpLIDWLngMCqnMenHRecFeuL1wiqeCxk0OeEy6pZn6wafwZlEtl
iTdukqRnoaePYgnDYstiWmWTJHX/1SyBWZ/krBfVzpphMtv02HEgRVY7Ek7fdpz/nBJvOw7dvVCs
SUBEc3RQIwsnLNqDG2hWjaKnuWwX3YRmn5XdzgcsbPban6rfQOXlViVTC6LIEzwA/CLCxKz16zrZ
DSwYVcoiPw2CBWiP2pBySOjIv+sGu97SLPNlYZtoIVlnNfXFRJTTamRG7LwfnRUN15Qi5TDO16bJ
PEFEAwS36wBoivedKg/F4EUMagObV3ZH6yTIurPlIQEiG5ibUJX3OHsObl1nB9idgN6L6lYFE83R
jcfHDtr/ygEJ3jfCxc8CDWZH3dfP1tavTWvB9TWKleVi+HF5nFLBclUvVfEWtYjUiZy6Pj7gnHkY
qRw3av1BfxZM8ug6gblfx41/N7APpXdlYqnsZz9MRE/oYcRQWyN9He3yzVuKqSAyRGRxKPLoDO9n
DKop8zhzgIzgO48Qytu8og67yq29otTt5sbLGrLO951tGis/SfZ96RjwPkMMHVjxMFOjrWoqzpKk
elRL5xnK1stECVrsjvd8Kh5kydvDtuNNRqCKlMqxraORdBFUNkzby97PJ6xCzVpY8vPxfRLGkTrO
MNeXtmCshdJ6ZIieL7Khr22kbHLHyv07oMptiDB85bPzlvzZ8kbdm2fT++Zk7lc94JjuZHyrl244
R9Cm6C19cfkQnOVsyI1AnmS3xWNcKuMiqJnrJt4BS++cRwEdwgCr5IYbS+dArzdreddDdigs4vg4
N6d1vJDbqLSbmVmZVIeHlLK7lNI7c2m/m7no0ZPInIo5HRMu0p+lsHOEdnrol/48TFhEJ6jU86nW
620sUw5le6gGqJzpkxFQIWRkzuNk0stH3haPNKCxtd03pJSW/r5SxGdnafQLlm6/wKMZMEYA2lQW
Z/PSABgvXYByucPCe0dm9KjgcZbKwJiSNnAn6wIYxoor37CuKBics9w6aCoHBwTPDr8gRYTNjJF/
aSaUVBS6MjuzZvKOE6awFh4HYaXgoTXwo1BvGDa040RJh77X7pulATGnCtHoxE2kFKNVlvmEgnYz
Zq5Kc99+gCNgczG4z4Chf7WIaKbOz3JpXMT1AlOFEkaDDhxWxPEH/d/ddg5oamyWzsZ4aW+ETQru
QOPGauw03New28ccGEdQJp/QABTvtqTe9UN4H4cBIn1hWVvSHyE/4HCbO+Khds17I0/uaD8if2X7
j9Sm487yfVhWDj+3GBY5zdXNenQgUFTLosWMsFIX0GWximbX2K/II6kh2WMgscDUipFNu9rUaV7t
BlOqi5q8W1fmNb4UVi4N9MceXMcVz2AGGqEIt74vYCrknUTfZ8gfQhHe5bq/Yum/lamJxt1h9wlD
+GG2LzYjK3bK5+YC/w6rWDdW+0iBn5jN/sHH7L2sXO5Ly4uvmB3cXRhQnMHKPyQ/7dImNFvrMZDv
kk/tKmh4AJDGUYDzYBvrdI2Qv/EA3KnM2tW9dRcOUq5GMVEUYpVno+tPrhU8e4aVItqmxbaeQF2C
9G9lu+/y/D50e5qhhhvdxK+RW920qTAYchHnx23h9+uanRfpC1SikbV08THX9ab3Gij89TnpWg2o
DO+Tm6lvhiGLegiFjp7rP10OeFKAktdGA8jKpysjTh8h10MgC2gCGWeK68iBweD7qp2h3v7zc///
Pf86VQ02I+4/nujX//Yv2b/9yzLW/30m+T9/5X9nkmm6UbaP/0ouKeK/TvVgpkBPmT6H398vnFks
005M+JjWHdP9c0v9152zIEUsXdf0XeufzSQr8Xc75wXWaqKp8/ssUCvpLISq/zHV182YeeZY4i8a
bYZGjrxhF4iKV67OwRUnCbZBsxS8KwfnO01a8R4EM02hjnZAhzoBns5cP7J6w/JqRNaZgkl2QQ3O
0m3vuhIt1VSPZmrX7m4Mev+5wpJ0UB4JMCqqvGGtguWA8NxsQ8i33wzlQsefg25T4VdZwMcvA+4o
nDCo2mcn0uEPHSzBjMZpvqJGdLwK/OBJBtaTgEPsjmP+1KYBpaR+Zp2TSlLn53EqVR7+J48X2T72
kvKgNHV8TlDrexe/6CFoqD63sIlhOOu37dQCrynK+iTC6YNkNksYGLGQvOkRJORGC2KM76ie4oyz
umspaiVysGU2fyqFvLIVgyxUMq0k9Z/VIs3C2A9Meaqz0T32PRlWAr8jE8SY3JlOK99zXbrvVuMf
vTQ5l5493mEF4LWudLeHzK2vKZTSLSmxest4Op81uix7D5v5wRuHPQWqLi3DmdiTupSXTLVPod/c
JxCuQNnQ8TPGpQS2wCF6KbKy3hqCOGvogJwq1NIXSPZwJ4KQsG5Bk6pvx3eedLZ8pZKLXbIVmKqu
pusJIBdWvGdlMaDUO8XPBkDrPMAXVfSXm1h08iZ6yB2QniqSx7iMQL4wAvGivc+k4clNyZLwUQbR
j0lmd6GYaFRL6m1v9e267ewX7Azqziq7c0uHH8dmjZtyp6tmuHlVgM0sG0r4EzO81FxHGgiO3gej
nRkb360wu3HlUGb75HP4Y4EGGhu1Y0o0iVrWbujbT0rv/Q8ak3ejtpxrHfn9roE3dfHbqMBj0Y2/
MG3Kncpo4IbJ/m7MznBaqAK7KoQ57mQTRqYIZ5Ga7Z+QNwtjhUe7OzmpBqOU8208KzO0SYK2Bbv/
aXIPYWWVz0IZZMAHPoZrj1bjY+vpeCciEKuzkNZJBMZJL8NHKjBJ4ZG2TjYknXNUoyBkSZqw9M+t
lwqIKOMb/SElnJob9z5mmHzc9rb1u4J3dDOCFpFMSbJoYUf96Fgf2SISPDGsdjsaAFpLbjZ+293P
ZV7usrK5hh421jz16jN5Ez9nqijMjdRwoqwU23jJRxTP5vBhM81Q6nIURvbLMXwMuSnWzVrhsRr4
OTm02pYz14GCTUTZAUpcXkJYoU8ZFvBvo0pYHnf0/dIuPtN6Yxk/0wUWy9lBh0IonGMm42BVe/HW
EkW2baZ82Khg+NmPuFk6FCvTzPJjRk6Gm+14bqjYm1I0wob4XCKiTdGFt9ChiUcTT0b5IGcRrxG2
C/RxsrKsfr23ycqcc6vtfD2UbOTwl3F9pgGLu7o58Ufnw8b9z2cTEjwPs7Q3swdzuPAH/wkDQr1D
baFsvUw/ExuTo7aBL8MDAtswN3hjFVifdnK+u96ffjdawSlAVDFaPHSMHNZhMuuljSi0Lm2Ut1CO
47vEe9eTIHyZdUw6bBlXWtgSK0+md6MkeOHV4i4MDsXMYVV2Ht5JDN0IWnvXjK9GFxyhO5wyKrfy
PnkahH406+yZnQdcCdU/AOG/RQZmwQq5gL3szgwxWo/dC5bs69hyp4Z9rw4GdVieZueQoImMGN6E
/jAddLfJK57SmqbMInJ+R17y6YesnQZcrkugkuV+bO7a3n2aKEu/b2v9lpnDW59aFNqTtWHI43/h
ZB/1zB0vAWnqessyIo27eztT80FqL/+ROFr8Fo46BMiZZEOL7urApJ41sMNG25+Rwc0xWsDVKGs0
Yy8wa3jizIML4LrI9XssnOxtWODX0Z8bbXvVLVhsa0lChiX7WowbSqApOiNd5QtTm6wOQUIw24Pw
zq2HgdOZvwfUrdWfH37iJISW3nqZ3cqF2E2j6FM2wfCuF5q30PHvykfzqObiqBbit7Wwv8e+q8+4
g427aa49gBEwwjnjSUKbYvqNhV19lhFr8P8PFytpmza3kH98sbrr6u+/rzf8yy/6y52KzYbpAfr0
FflVX/0Pzov8w+cej1PfXMoP/WVJ8V+bEvcPuC/k/tiIONbfAvCdP1i5SCKBxILZrpj/FADf5P70
v1YlykdQ4S92NksI8W8vVQNhnpInD6a4IZ5LeuxV5FL2QGm4s0gWGWZ7FVbnZukV9wGlr6mdXc+J
fFDKK7nqKGOV+hkHMb3kGQXlmqJyz/IcJM/+UkY5XWDdIC/RTD6pCfSLXSwF80vnueYFQa+KGBip
aDeNExIVze9gaUoXtbwkvXuCQ18RdqJN3cfmC6mptugJQ4yoy4DdOfpEboPTzuZib+CpWQ95ImBV
USFjZ52BicdNVgEfZjDyDHMR+gfpxZ/ln4LIIo147bLszJo3u22yV+jaa7EIKW2rf9DuAe/yT5EF
tcUQDjwmw7lF6DCuU31M6DIx+kyQRgcbvSYRTbiPU+bdBC0nXIxYJuoOASK9ErPcgfh9jTrcyn2j
t4PJNqnPcFJEvMMI+ZPnD7riJctbinxNTiMuRz+ShtqfeML1zue7qTjmWO6SmcjpmXHSGN6l/eKR
q8L2+2LP+ioEC3AueVRJ25Jp3voenIi2KjP7rJyGFXv06Y7FFTLHRs/G77KBvB07v+o5PPXCOlt2
56/miNdVbtZXfJX3AWZw6q1QGhEeYCPvJzf6ngBnyIz6A4Xnu0cfZHzLv8OOVA92C3gC+5D0n0jg
fJol1k76ctbL/datPLa5wY4atxxDHB3vUq1cbR2Ej5HJauIrW7B6k4jksRO8Mlr3OJkVQz+xddeF
Bj30u9kMSRtp997mjrRE9/SZYuITGOt9Mfdb6oThxUEdJa4XsuUCGz2sTLvfkR7nn+bFXenQ+yOc
J7NJTzZrcXfZf5tDt3ewsa5kYz6LJZcI4qgFE8guoCWtyDN+kw32LL+qTg6MPhAEvMst0KwrVROF
Y7g2eA+GNd7LDEtcPQwvttkeR7MDWyiO3BuvTVVe6rrDc5Ojg8J1BOGmd+UsfAIDzinvKVGb5xxq
ubfg5Dtr+RbCBiCXv4o881cz0aJWmjwpvHzI9hMkIbL31tbDceiGu1nn34RPeE8q8EqTX/0wagzs
E6L7HMd4Oo3vMiq3/VzgIZws5CUgsnF6GcfoBO9hB3jkIsZ4O49osvQbl2An6BmwQrnruE8EJdeL
sh8+ixmCiIjFPdL7bs6440Q9fxZHlc+uPZJIw/7S0cKLWNsdOmm9sanc9GFzKmry72V9SZrv0qbU
qycwCO8OqKsG34mgGmfqIjsUAmoYUwCxa9osV6pyXxxl3tWFIE5lfcdWd1b1couLX+XYHZKQDsrE
bHYOencsrV0XRL8mosf1bIerntapi7KdbTT0mym2eMOlzd63o3jjO/UlDNkGqlhgVGqMHdr8rsrr
nqR89aRbtrp8NeQYIgOYzcjN0TXNX25OLk+4Qh7i2EtPHSAjN+gy1EUOm1w8TXUCl831sQwBlJdW
9TXQKIBa1NAxjYE5md2jVfkuVhRFk7r3OUTtepYT3Koo308ZEg/d0D107z3cLHYXOaqlmSf3AVzM
JDBQ/SK/WuncX2BVUwLd0V5XBmmjmKGCk/PcxMMmra2b6xcQX/Md2eDHcKieaB5MV6lAyOw7EEHv
tFPBVFr7zWa0vB9FwPOWljcFbo5yS7nDFXZSA+tFOeAE5OavVzJxCF+Ws3fsG0jzOAcr7qB0hZut
aJ5cNXNt4oNXAMxYmnVwI9o2w6Ucx1XRtON6mKvrVFXXPh33fZ4e7co4jhoBrsTYWtvTj6iXAWBF
xtPIRNqMhddeqh6jWGICwYjzlFuQvISNB8ov4WNBRJbETyJ9ylBYn9C4GVY90mdKZLg0fFy8TNn4
pW5zwXeqTvmUu0xLUoqfpsIfZ/sBQbgOQo8lHzr8s6tUSjYCttxXPnlmSbxi5Xqp2DQWj4QFcJRA
3rf2IY/FpfmobLJWMw1KVF2wULNg8yUUUW/bOr04dMpCRoWSVMQ0ojBdWK6s1jYa1nohGK5yFTyX
YEMxsErSTKraZk5CU4MJU7/FaRgT48Icsw+hua5Y8hCAVfSGhTz8Fs2+1Mrqp8zC2COxh0Z581tC
XdqMgZjPsNVsMr0xC8cAiV/z5B8VRBRc8SDGiprWgLCpWIF4NJyao1qGqmRbCUPsAkddHPDRIJ9n
EwmOldToAqwooQut0yQqSfKO7kqQFV3JnOAfairkILJtFEeWkMh2PiiQ3WjgAGqJ82MrdFi/q2G/
RLR8v7kosEHWBKHWsvEbtM1sEIX3/CM+3o8enurWyEySOcwoQDkYmwqy80mCuazX+qNPW/yALPxM
k6e56Qpq6ylOjRvCWtrmb46kmt6J07cSMSb21RXIZvCE6LjYu/qTQIZ4bsl43Ve0zmx1l79GWffZ
RH1x6KqZd0LtDgSZAnmYWKJlfk/RTdznu8qnUZPHk8s4PgLiNEiolFKywYmjN2OpQO1F66wag9A+
pCmfRtnxpqQNSDcKDnbo96zDZbc2BfgUkxogYB5HiEDz1qjsTUSwaPRxb7qUAM6DsTFl6Z54KkFU
xWTBHWH1R6tA06gTKvB6FOCtnQAug3/+EIwa0i9LZW3x9KgfBB22iATVujKFSRQQ5szsA1PFac24
9BQQiV2NbXwHRvI4+060SCfIP4TdKb4l2uiAN9kIGFaWgys9bmBFUOmyj0OMJqLGEjaJ+oVA5wYb
+tIVB5R7zEBG5HV2dCQFnxjhSr4aDAyFMew6D89ZV9eniNDAtoqQO8qMsaz0yXAZyv/0DTbKJeFQ
q+GgKZ37WujqlBQ26wcqEElzl5T1bIMswMzjfjh+9GrZ3n0wDHvDdFjwq4DlbS/RYZJLFJgAHULb
gX1FTV5QbCVvr1GG+xRqM0wCvpbROeF25OtPq37T28WTHgZBdL44OoN/PytIFLThnvslTUCAwx2A
SxWappA2/aDwhGVfOR0ajYFB+LyioEm9pImOEM6DV1UaT/FUML0NU4kbBNiXV2zjqiZ1SeCsFET/
C941Jfsbv9asbrxt6ZZvs7CuxsBeIfQpgpqKlvraVH+0HqtDpWbxkkVXVW9NUSVrtP93NIJ43bsB
IFjWjI2IpnWHHWVj+OUDEzw/xZ5+x9aGQkGFur20tuD+M+9RJ6s9wmjMYz2Wp6aE+FV2dJG0+CAG
96GOkBwwQ2+aGWl9FMXJpOxlrfv0xxxaN9tynk3LOM4NtdOi+KTs70WlrC2rMQIlIqzHILPZ1kzM
5jqXyTrHCxCHaDAh69YA6/FcT8v9Qh1BSFEE7LWMGFhIUGSM/uBrOmg9EyOwyr8Kzz8wlO6KIL54
ZXrJ/KHjQ25+RQtu3mjolKniHwoO+Z0FlL5n87KeM+dJCjoECE9/FiWIvKxSB6WqBC3AOclmaVkG
r0isZxtMGD6zXsFrXdz+GqdU28NpyLCY1E9GG754rKtxDyQvo8N6u8YduetpVV6V9cQhXrbzk7TA
CKAosTQHNmhQ6gg0wsb+EMPaGeq3uIromyoa7nGx961q5xynYCMAeZFwSjnXGyrntF7bSXK0WDnF
tSPAwPO/Z0ZvN0UrdkYY34GqtQhpMElAQx7XsVPBkpgHwANRck5LkAKAAj1CAuwYVZ1j6Yk4Jqjj
/mytRH2EAeHyjklI2sZzWsY/i1LAl66RCU2D9sk2sDh+rRNgQfj8i+3KcO/gghpbUDaPZuvuygLy
Is1kmx6IVNVFZ5OAyiZtxYtU4ba0Ofbt+Tbo9JWo/wMWlVsE2CUzxlNJEhMz2q8pzSKikma8SyN3
1S5fTZMmexfPDX2BZ3LWrHSy6Oi0L2Vu86aY4apntrW2S6IADcH2lZYgemN6iSSDHhVNT70O37xJ
sQ4NMqpRIe5RBLSZZglurB8/AiOFRx8/zyPCl2yd36mdXEsAuMCp1xGZsTW2jFeqEnBkpIuHjTse
mTu1ddP2xXSGfHlxiX3aefWdJ8oN5QlbzyK14oc17i0gCHG6VS5wBTXz+4tR7IqyH3EJuo+O6T/5
eXnJUsw6Pl3mpHh3A/r3WhTGXZOM1j6qrHjrldGbT6d6L1ts/B6bP8pGrVUzTVSsUwFvpD1eDLGp
lf49TRPwlrY9+JE9cbOvv2ZcyNts6NVKB3a183X6W9bNXTxLoNJRxkfUu7IDPnftvBNjRwtDsEvc
auep6Wjn0S/LbV7ZYZzLdvEFJ0xUqrwW4XioIZINKnjsHHfX1/Ic+O+OQ0XZrNfUG6/7oL9hyTsx
jm3sti1uIoDTHttHjW3NzeQnJMDnzu5xZaDRgjttyCG0FopeFcCscU6zIHMRs+CrzUIC16qZcUZW
FZ6Y/FVqUXpt1WBIyIAjGdR0LHnlbc6xP/PoM57mgH/stGTmHgeOHvXLw3s952VLhZH3XGPpXldD
fHXBPUZB0K60VZ5ip58haODDllOFoa/13v8EdzJbfU61Y+/KQF0tKsx3/KsvDJN31H6euKc+Jon8
2XA36j2sILLwgPc5xzidD8EQ75p2OPkWehrlV+sEcA/uUTCDDq3bqiG8EPdoJST6SCYzv9woLb3k
AZWADUaTIQ8ewhKxnAzh2hZzjaZa72vajWUxnbhxbGqvf8hTtp2KBc5KY7jjFTy+WrF8LTWO90Ae
Jze5VAG5oKy44lODIEF2H+cSIz3uV2l/VfApVcmyNS2/4kreyGUDOAO5YIfRHRWDzDq4EfxIPKhE
f6ASXnCQXPAH3CjKOqaLQGJWFP2y1rd95opxpumII7OagPzr2nlUNX+eLvFPDv3fKyjpD9Asftkc
pLU0YSrY8AZrose9hpW/FEVwx+KjF+zVwPXYIvixHyv7KwjsXUE0njQUsCD9WEflTSeaU2Xc1kKt
RLc4XWkAXLkRl4JGpb8Sh0OG9hCYTBT4cel8zJVP2n5c02h+lxVYeAF8f2AZoL7MDvaeOV3olDi4
EEXy0f/g96crVCQawYSurJjoyIA3QYFeIzvU7Uff+xWq8TuRlJpxOZc9kQRGg4PMBtII9ramBKez
7Y9Z9nAYuX+Hk3XymhnUr/utOZJtnnLks3xHyRa3XZY7bZmM/y921hK5ES3yH0ur998/83//1781
of/lF/1FWnX/YPfhED9GRLGZn/6K0Lb/WLzfHiFo1tmOsBE1/yqtSsW8KmxS0LZnCTBo/7Wudv5A
S0Bzla4SllT/nAmdnfn/UlaRVElcW56HystX+rfKKkwjGCf04m4k6+Ht7Cswh2Dwec0Ox7j3sasB
8tgCH/lduMWbUAygPetIttq3JRzTNcXnQITp5ELX3YSm/yUWbu0wihP/+l65rAYo63n3nOx3hT6S
sQI9GYZzB8wQdExnPGcwPvHPYC9eImlmKo6TX/rnvHQx+YqfvZA/bNxL3DMyf1MJ851qsm9JCHHj
xi5uZSnWzRLZMVHsPEtl2zhmFdnWcBe40IJbHLcwHXrqUQgZtn63sGeapft3a+gO+yZUaBoEYib8
BFErGmYmpGh+GwYMYfDUDrkEgSAEzq+ycqnDJA5sBIWP3Wwk24W0te7DRRtMzAOFSpSSxR0LXesj
seQPM8VQ0pfVAdr9zww8AyBxBI65O2spLlWG54ijcQeSeTU1RbFlFN/TvEmEhBqiMytypieTvsZ5
dtK1yQrMbcqvunJ+Ec77JVuynO189GAzrq0Se84Q6ydNExAxNn2duRcSxnkwsjy7zP34Pcztl9PY
Gqd7OD56AYsoXaYf8Uj01c/Cxwg6uBM5/IzG+KcU1MpbYfPm6+rC8fhhu+NLPHQnMRh3Nr/1AxN7
zNYIEGlp3kZNHtYK8+xBtupaL/pCW2dru8HdyZ//1gWEf9vW/3B0ig3LG5+RHYkeeJh3gWCu6Ta+
sKI9lZ71HqBurjOTS6+dWrusN97HbsYrlArnUMesw4ZhYH02H23ZZcew1K9+I819WnW7tqk+iIKf
ewc7bkV+ejPnef7Q6vxHSMPU1LMw87waksmEwpw+m11+jYPI4Mqenk3VPTeZ5a7yJZdshu9hZX/4
0EvswH/wmIscb1WE9tWkde5QB9nJs3jYiqakShNkfA+MCpMr05rV6xUXZ8Rc3Z1SYT+A0uZKP814
M0jiQj5AUAnbz9hGZW1yd99Z6q1x4xcyC2uEDTxel/AhaX/Glv1BXfTWkuEJ//Yt8WuGMOwRReNd
KtUcp0ndBFwhDRvA1Nwv/BTDppMiY7Y1/12Z9uBwuY2X0fLZzdZe6rJIzO5x3t3qJkVemeAL5n6w
t+rkrGJieX5ABTkJWukcXQfy7xBDRaHHVxKQwwc5U0qfdPaBIhln78mGuKOk7sSBjrPc0d/dTEvg
PeqlqOILtWnRru9RD5zaJKhcPLVuDsSrDO/HjkxzMzA6liIU61GnN19IF1NWPLIJDZ7J+1LsuUwj
tbcAUghQUl6O3bDgFm6G7ZuthUA8qp71mDzlZRpvdCYOQU5gOC+nY94yomF7WHFT28PtxZkgflZD
9Y4B/gCZT65Mt7maFLWmMSDUWdkSAxkX9aYK9NbCMbNFtXiMEj6x2qPoFsnhFBJOY+XefdkyYtBz
7StnPuKioE8oqs6kk7rDYCI8DimcAndpzBVUoy7X7iYs7swSWctE0gcMdEjS3Nw3k3SoP1ctx1bc
wuAaLBTn5j3JelTKrpL3o9Wal1FTN0Va6MyrZGt1fnUB2fhdoKsrl/q4rHgbZXaoJzzqpuaTu0ib
qyj+TMPJXKkmuNVMh5vSTQq4afGl8aHylS6DayToYWH3hNwPJ3iFawJihfdF/OguhPVsKRa9y9Ii
xqnt1tckMj7Thk1+RBSS8iTgbWUTnLu6oBopYeqL2p9WEcNHGDAJxCniUBp2XzPN05mgsbFJ9bRV
fPKEwS0nUNM5j0ewkIP9VJuh9Qyl892MEeeK3mn3FFD/TCw6qrKZoEcryExQZhwTDHEoLBKvAZHk
ld/Nvzzf25mt/hSiO/V28jS2TGCWn5J5ojRvqgEYNeW5t3Exmd018PGtd9RQZh7mzDk6NG79NjX6
UEbmQyOjCHF8eiAKC8OmuRRjs7Mn/ynSgBs9KzrUsgQtZpc0jtWnIupQYjThfXNOvrDZ+sR87W1r
WtRNhe627syjPfLhYR9ewScNvvJmek8caKJukp/iAfPrwuEj/rnGmJJAA9JvvP3PWrB7cBuGuKqY
iLiW1a6gYWrlAHQYnGmfJzrcSQlZVM4EWdaTgw4FVbHwsFnmsWWsEcqeG1Nb55C2K6PMhzP+IRAJ
yYAsmBTO0TNlcdcBa+L1S+yYUqIHBNjwV9H7H9Qr8B7kmSWU5sX0sYax2CvHwNobttvISe7G0X7K
ZzjkBuTIKRFY2HyMIzkpNTiKzLvs9ZYYE+pewR6xqjetNX+46XwDVf+bTO++SK2HlBKkzHRgpVQX
gfBROdZ7GOvXYFncFeyLeFzpHUvevd6+S4T/GmIy2HnhfA6K5LVKLI+AxQh8JFkqEq0vTqVVDkL2
mcgduVXFxrDjpSyTNFrPQtw3U2PuuAVRRVPg8B+q4sO28yMQ9PPU1/eNX1v38wxq3utps6ImlzRp
9IALkBSqc6nMyLwfzSQ4FVWGmpkm/X5KSwBeBiSLqQ03hExgu7fuepJG+45is5+AvEMsqWKmASiL
wp/FOvXnKyT091BxfKoYrqpgdJI25p91UQcKOzWfCp5ovo60XheaYTMO8N7kUAZWyolcbiTYbojB
b/KAyIeukg3h6m/qrLD+68RhLZk+dmP45MkS5ZLBGj8iy213qGGhSD0h8LQ0sGkAsuPQvtY5uK7c
siYuRGoA7ZWKfeOO9GgrXsuxE7onNXsI+uzrTLM6TUqQ0CbrtwZc+BW0cNDMiSWsleLhgx5Wr9u8
qyiJIxIWqPxngzC14gwXl6ZvebBBsfJBgSLlTZjJJVXynNP1veqKaW9b9NVhwOLd0+Q2S2fRbavR
T78i8tiYf5xvS3HdkBGB5sxpTo4ZoYwUaJJtBnlfYDLETceYN6PXkYniW6bdL8vxKaPIyseMI2tb
yu6HwNISMbVtpgEM/Oj7m6KXXFeGexoKpkWORCJtEzgeXn5tJdvkiPIORBS4977hUPigm+/Kg++A
DLgI00QyaSJnnjJ+Glrf941xj2X6dw+dDmyJ+Ckgw5KRu3o+F7vZTh46Yb8GrkupVsZbIs5Gi8aX
6Dn0xasbeMMetyUe8kB/T477TViePBW5F6sFt8V6NqUGD5pAK9q9poSY79Oht6iEKYdhBSv43cv7
6xy1134yISCw4lp3hvzwMnZRPA/fzYCDTfE+Bri2dISZo7Nh4XlNpuar812UUOKHyFgFuUq61+r6
LsAx/x/sncmO7EiCXX9F6D1TpHEW0Fq402f3GD3GDRHT40waZxq/XoevsqqrU2gBtZSgTQPZyMx6
GeFOmt3hXCXde2aurpnWYTDVJtJBAfKG6cItY5bMlPgFp5BREcebXlVe72o0SEKT8QvPpCdTjxgq
yegR0ufetrIDSxt1a9WS+oa2d3K8g96dpIIuiMGQE/nK37NmuG8T2jBa2B/g6i9/J59yzhbDQsaj
TOXXDy7npk3HtNm5ZnlZtCw9EHY4TzZQwLwnZipmsEqWAokW5g+RWd9UMVOsjqExSJaOZ3NAgShV
c9BLA/GMX5KZFBtm7R/IWqx9fpwByI6r8micuNZ4g66QbKswPCcZ9ZoCN7DGKfJVoVZ0Jp6bWDuE
Q9sHbk0uHY7NTeLG1g6qHpx0xe+Hg8RDMbp7x05ePcshT9HyYfNQo9rYt9aJru3iprtNXLIsVnTH
OvMpr+rHsZwffCnvqRs8AdJf1KO7SBY3WUpyJJ3UA94tkqBKnmyvekjiMVCTM/H6RsytYm/YtQJb
Ga0vGEPL+RiE2z8YI5Gt2ZmuSqpN0lCtgPNISzQr3VXjwsaXfXRtYkWquPF+gDjKHUvk3aaRUD+a
urwh/UFQ1aVlJ3vSoEgpuFTDtmPIZUXE0lsVBoSacR6OPt8oWA8SxBtaj9XzGDJmFCjb4kgtfDCw
3Uz5SmnSwU0vph2r9CXnGB/WbGEzuA2RjlPkKs7r4kXyxQgyRscNT0JEIihOyEQM5AqaTymya2GZ
l9FG6sSO4pSA+xMNyTEcoOjrAxTZxuYNqxnWZ1jGT15rPpmJzwpHUf+omVcX2qrLvaQIT6k2bemY
3fp6FQVRqA6jAPTEHw3rhffmb/ngv39N/yP6qe4qbKOqbH9vHH9VUjVJFHd/+cv/+X9htp+QF/LF
f62TIOVWzX+WSay//TN/yiTiDw8WDxDrPzv3fzLkjD8s4SJE++ghiw6CGPMfGomjkxb6K0LOoaRv
6xatf/E3vty/UtL/vXD2l5I+GX7Dsg3DQa3x9WWC7J/i/AilJqJxAV6Td/hqcIyrZrJlEprMB4Hm
poIbNui1djaSdY80cJ8Rx3+PtdjBZEIoNoanuih+me5sbUYyumvAsK/QMvYzHENmqaBaFGrZ7jgr
o/p0PNzbQjUtgZbJe5Fp3O+54MFsbA1gHY3lbYRGgIqcxhfWa742Zz7cBKrzVZcN1xZML5onigFk
gNvB46/MXn+JW1EE1BLaQJEpoOY1kyIxvRHLApy6W1BUovjowLPWc2A+9UfmEjSi/0Ph0v5hhTVZ
VyaoIYuWVlVM98uS+6rsm8+BmxKHvV2aV8epAr0B1BWdRE+Otpfduo44+EZ18tLuYuupdyeN6EeN
tcJzTC5l4361HWenWLBtwY9nZ/EqjkS2aUxqV4P5WvftnVFB/Nf6Cj4f5mZqhPtYWQ+9nTzmkUkW
idNGlPU3TpJEW9tmVUI50REXeF1muN+qrF9EZqVb6kHWtilyTl3pDlPwruI/eJ/CtApoAT/MVsa5
PefaP5gpaPAiO/qReUwL632kAs9/ODJ13L5FM7ECg2xKKctXw49+kT2Ig6zPXCwTm7C0oYLSg3Rd
J8HotU9Vq9+VE7q5M2yGxOEyTCcQdhZ6j0VoCWgMkrGHyeOP+q3rwgM3POEyolR2xDUq89h6VEYI
Od9amXyiGtxRWCySk00SZQsR8FBo3RfYXhRqCEcbKLP7SsTIv6P9E9FYWGPmbHNQD2sD0yfIiayA
2gPWE5ogB6PQcIJSLK6wleHdacMJeN9tWTu35OEvE5NaRseEXlFq5PI7PtZDDMiJqzOnJVe8N6I7
AFPgus1Y21rXwqPSqs++YUSusLexPT+Twty3RpocnN7/Ii/GncseDyKXJuEblPKaQ87WFNlnMRCJ
CAvrVRYMCmX0gcuwM5g5s141hwltRr7zGaasxsK6Ubow6+nI64SCVv4Y/ZIZUGNab2u7B3+ogYCN
c/++KilK99I4wazAi3O1c0aiG4WEU3BmXZ2uIevpWydHx1+O2aw29JBQpwfuPcpbF0ZFtZ9SzM8Z
/XHt9PBY9ZwEpyooCYZbMycHVtX5IQPn6+S8MNCHNIB5JBtuaUjKoKiyA+GrfleObCGJXPDKowCx
tHEuWguVkh2Xa93x8++WsQQM17t40S0jPoI93XanqI5E9gJvVguliEVWLbmfk3Ljt/ID1N+DDb2f
Cg144vrYSSzL2QWW3Tjhpvb6OXD1hny1aIEqi7cKdASm33FyoBGKuL0RdllRwJPbzB7eKe7T8FCc
x4s8usr6zYkNvFqmCEVbXzXVfmItLKRWNgjMat4VsxU4qG/1HM0bv9ZeSiYRHXjUsyMeK0jtnHfB
3iFgrkWhT+vQ0HdEKDQeYfLOpoLAkxasma3uNdmfpyzahp65s2P1njfL/0Q/kzpc6rEpCiHqH+qI
3CawflYDz/21EbVPDNuvYZVQBCKdyWoXhEPt4vn9Y+j4gUu1eiTUp4qYJxWfJEvpBwlo0ulnACIt
5KMmM+8LHTVrNOpXxO8J7rHPmgYaIdVt/5w25pEr8W2vDmpmmyYD0E3GYHqqF9KsXJiz+UKfLcHQ
Ukq49DzPSQhEB8sgOcKu3n2ez+/dwrDV7CmYgdoWZUoesrgb8eQKzeJ0w0PVGTh0gMMtdSZts4WQ
O9cq3WvNgkMZs25nxN2hU4hhSQRfl4vX3l6IuzE2ngTBG0qbAIC0vpmt45RFmaZYeL00R3ue+RjE
MTBfSunDPib7yLS7ImJSp9Q3oT6v6yre1AsPOIS7n3j9rl1IwR6Mqwx0MN/h/KleaMLTEv9pFsLw
HFV84IYXOtrQoYBKndyFRxzlkIlbJtWGhVUMGPCdLC58csfuKU5C51zIxgrEcWcmp2ZBHuvmIebg
GC8s5Foy4gkehLMpV9CihZhsdukNda91Y5BxAqlcmYzNSoLZdMdidopT8WwtAOYJErOzMJlhQt7M
C6VZ+fCaeQyHQSUld1DWMV3rrWR/wirFp/KZgyR2Op6Hsc8CNkAX0FXJtcc7wnPZt3Zy72sRyi2J
M342draWgluEFLA1Db6Fec+vfuz1t1Fr9kVCZ9YtMOwnbJCLA8h0l8eNedNbLWWlEi54OM3eMYww
NxAIkJoFaUorqnIKr126LuNk79sq4ypOXbnqYrVxxklt3Lksz4iIFzeMT6JzHu3SFOu2a/YTf89d
Ho0odWN1m+RjuS87RB87si6TU3C34Ay64fEKF6Oj/+P+eBUwxU4fJXdslgiTpvhwfUxsTdfZkInR
yLQ8Mw95SlKJPtq4kkmjNrrKxnvEzB8MUbYNE47XsbdJ8/atTqF1OCK9xGFzE7toPHY+s+Hp8pGb
mXwT8PFYfDARAEuGillV20PP2nNlXGI3CCt1DCBDR+zg3FUGPHfCjSox4UVhPw3TrHBzmLwXXN5+
JQVlOJ+Aaarn65kBRag2IRBu4kVOckwa8QjfC1hgx24PUHoy2BmRmCM1rOY8zVrzpGvjd9FMx4rg
wo7oYTDSWVhxMYTIOcY7M+buIiJoXgnEvN6x1tID/pbyL2oZBOoSnmOlpd76ws0OnebsM0QxloNs
Pmdi9E/sUqb7tO4+s9EP8RGsZjWo9ABB06GljyJgyvHOmwzgwKE6ao65h+MOJSCpADlZRLNg2Jir
0sTmXkAbYTnbW+Gl73rFno+W8K1Ob5wqSTfU/Qg2Qq57jYaQPHYLkrEufB7oMSMxFlJvy3Jff1/x
4Ru9zDlXvBHWdpaz2mdGLCKk+T2U0Us1Qflt8hslMWAGA0p/7M45yDqLYBZTP1U5kCX1e9yvFJ/D
5g8lElpUQEW/qLodWES6hMsYm0Z4TXrlbjaXYB1KC4mPi9IIVEkAaL3tK/6zXLLuRCIGh1NJiJZ+
5rR3Yhi63BEwxKiy47epd7didl3IgdZ04GPq7HpdAe0kvNHPIQuhxb3G2jleXvZI/2PrSwuZcXyx
yuY7x3tZiVZ8tF4sAzrDP1nFmEqTDMYd2GWGGcJ83vBpf8mr/psPIHPafr9Jy3QXIi2eLBYkNbr1
ayJ1CVJnSNx+qr77EEiu85nw0t5HbbdMyoFL0twp6FDQVuEy5VPVGCOzqK5Wrt30kwdggQ7NpnQi
EKs2qSF+uXY3/WTUp2DwLGc+dHuvSUDuzpcmMU4N2h9Rv3xve0OxBqLYrInnn2eJMpm14bMuUPSW
5DoqTLu89Mh4+8lJJf2bqbxNwdVy56O8BB4gj0CG7HIbSXQtWnFpbbFJu/qAl3C0OTmFVc2HXtPI
4Lc3ZQHcUTSwWKAtNH1zZqhGbZQFe320AYXGFAQCOyGyM+gN86usbQUmGb59nyVNkITNL9kI0hym
+WLoxVfsLdxXrBoMBshk4cywccEcVewyiZcwdpmY5audMlGAs1Jvi74qwcQyVaUTow/cdLIWNfM2
A71tYBvCNJIPhXTkLm0AI4zKcohf6fkSTLxmpSMP4F6BZYNFWI/S3bKW2z7A3Zywqomk65omH7R+
ZD+xrg92qKydQYF53ZvqiTQvJrXEtrB1d5sUrYfHOe47ic4cqaMseVzgO4xpfOXTeWuyYwNKlqBn
h7zieT6sM3UPueC+1Akl8fSuWCsGEKVDWfDujK7d/77AzeN0Oy0kJ8thK8QiUltpKRNezdmJ2qCk
JU3QlsS+3yUHPxLfuWYc+r741VhuvIHVCM4gZzhwgv25qJx7JZKPWpJqLSfnzZ6KJ2uYkaLE0zK7
Z7PoxnYUtsCchJhaPijQOoNJgdW966vipa7LXdaVpKCq8JtDJspm2mqrkm+3Zyx77b7UTqm7rAtl
nrvz8DdgbyqOqOCeDAfpEqmSlRvvJWt5/FbzsKsba0/J9Nwp8gGdfDOLnF9Ff2y8/lLy4DN7461g
F7PEZ6Wc1ARem+1qNixJOIOcJZGAZdbsrUjLjsyXkXTTlXkk5n0/xmwzTDFH03BM7yIE2SCsm0/e
FbuIaTFnJPo5l/JGH/mgpJO+V3b909v9Z2rK11zPpgcm2Ci384cPQiDHzFS9FkuR2cdj2gi+S0ms
j5s2ZHKQLjk5xgQMaU79Z/SKUxMxhRUZ/YNqaZzw8OrH/oKYiK4fddHZEd3nxEn2X1d8/l9dFxC2
Y5Bd+a91oeePNu//gnv48x/6B+5BOIYBgBOFSfjCZ2j+T22I/qEHYcEXJv+H6Mo/DRY6f/ikIG1X
cBD4rSn9c35GX8Iu3KZt7zej4V/Rhwz9twD0NxXv8P3v/+bqNhQT0soE4jHNTcMBJfnPAhFBvahN
sz4JvIIOr708rPqWjd7ebe/lQhuWotfpu+evswNtgCFgkt7YGHG+AuSaPTeIC7gsnCcmBoRzbtKe
4bzny7LwqFXyzlzWhkVXF7eKAeKSBcfNOBMmX7aJl5shSIZ3uO6bZlkv7pxob9InAkwMa5zBkNFh
6Zjln3adLevHZe6xXN93xFjnI3LSzez39xEMJG+mHcCA8rAsKYPcOUhejI2L77FMLZOUjqORikq5
tZhiHpnnxq0AppJ5EWca2lbSM48VA86VDwLy96Kzz4WiW1aedeaeTV5lS+2c84T9Vrtw2ozZYYCa
8z3VI+JGjIR2PcOFxrIkHRfKe/QZl57Mzth7y9607BYZngnqvOBnW8ifVk0Hf9moxpN77GvWe3kl
bcjw7ye7P9uwjQoPJhQVASjeW+Iat5JBFFZQ0fnRcEl9g8Rb18tOtqb3KmBAUd93Vn8elzXtRCVf
NfPaxLoO9BqOZq3lZC2h1IDlfe/n/MWDxdMTdapTprrJcNZOeWmdlHcdW96EEvdNIR/YHp+CuHft
52pZ/qYi+tgSElrZLavgMsFBjZel8NjNJkDF2NsSFyNc9sQbyEGncZkYhwXEkdd6A/r9rZYVcuQX
lqfzmFs0QUPj3DBX3pOm95f98mm0f0nHIQqV8sfI7T1Ugz1izy1zanh1MyAcxo25XE0fdpUfDMe4
8+WEH1f+DCS+Bqn9wtnggZ0A7k1S+MypYL6tUcVNSSLSSaCCG7XzqEZ0oYbMfM7VKRTc8HN3oab3
zkpazj5KF0hPTDkvBTjNB926YzmjIpVuP2f444noXhhrAZcTqSff7X7A/6I2mtCS0hqAtInkyikq
vvZucW5q7XusOZ5RL+WEE+N253F17Vznzq4yfV3W5poz8c1Seeoam5h3/t0Ky9iw/x6RCYMcXZUp
NG5s1KBTvBobRX5Vozjg1+HJTpkamy3BTJlR3quMQISauStOlE2oiT26CpfKbKmuxunW5ayAB08B
J43s7zx3FiOKuSHApA8SDQn8xScMUX6dOqaFU7JO2pVf5WyxqRlf3Tq+kdp015nN7eBmJ3+q1Toz
5XMdW+Mxo+myapddtWjS3xmoeNJMEgqw1CWOMVNeGvtxpk642HULFigVhMHSao7DFN43ab0zrfxb
tvGTnXkYQt1jgt26opy/9G09RBW7vc89Ah0m0NZIg6GCUb0t5+kSzv0+tF0ybQyWr3tasmklQUhH
NL9Ch+Rpbw5ss41fxHWwPuPii4Q5X1h4lxwfI1iH0zunsBOV1iQowSKvMUUfheZV655jAx+IN1Hq
Y5BG8bOel3t7ECfbBhMyzsT8HdzBGyMan/Ws/gkTfs+5/WssEVkiWb+2nXoqqVesWyrFHA09GM/Z
jcjJZbupRtyNpPDYsyutORZMrKROt0Wbv3qI7ysHKzRIzPzB0Lxxoy1jdbUlCATD9erQYkrJiaLT
mekIPTiX7UsooWk6FRD/EaAfkZi6oefCn8ShFYqchc/ZIs4ZUnvSOFvEbvQ5+pHE4IqIFuqMa9Rc
6ypm73C5BCYxwuMQxoeJchUfv/lbD6FyFHp4hxKy8ePmzR7rM0l1JLoc14/jEtoF/5oITYjrPmx0
2Pc0YdawsaINkK50Vbfpl1sbj21F1SQVGlNrbFnR3uNZSG2S+FBe3/Hov5Liq4rUAaE9t/jckLvc
jhdMMX5EXgpTbbkL2QZQ707cG9TpVyPM0bRgTGBCAqJAyMOE6bXK5WBPxtncRFO+W94Z9HH2U1lk
a7KjT1acHrveu6Zzz13CkUciFfxAU/dxkvXn7Aysgc2bVqtpwdl3dcawVkn2PpovsSPpSE40xufJ
eA29+HbkSk+LYPygpMe+lN7v9MwJotJ85uJ26ArjPRHFdVDdbu57ajA8ewjaqV01+j9RPny0jf+V
zuRW6+l5nIljZzUCu93SWKAB8d67xtNIQtBNxVkLs0viEVWPTCQpyKBI9T8NIMsaa5UPXkVWH0g9
VDvifT5Xsc7YhJn+M9HdVDVX26ij12mgNazten7NEaGIqLnrPK/3TDxudSv84KXxUdrVSzGVO7SM
oCgxynWRgo6HMYoaVHAhoSTgz0fmfX0i4wKqrj7tE6261yr7a8phBqURP/DwquEPU6fgrV5TcGR1
6GxKXIbQTZ4ZpiHUauWnMKv8XVSYr2i1GxkBQ+7K+DB3DqnuBjBuX6cfLtmp1HKf/bnVHthUpfcO
CJ7HBJrscuYop4GWZZmwLwkkKgkt/IoSxyFRTNWO3FXHCga83k63SRMjeJcOWsQkXvSQ+mNS6V86
IBaz9c9iHr5dTb102LD0+kwc/+nq8/JzG8iiNnfLyOY+ZDwCNz0QjdkZ48LXNYK0rW/1golxxoK7
na17N9GAVJ/5I9Bp+9aJG2tNTOSScwkBkkchQ5TR2iVYw6uno5AU22JlAg/mdIIiRNuVsuRwUVn/
0ZdU2cbCvqHWMQcZu8nxUse262M/wjuJnYfUNXoc45qyeUmyWKNGtQ5bfTu76U9Us6jiurC2zYho
RGvq15C0a1L5T6FJs73PXsGSVcy4wMdmBuPFtksq5T17rPk2ZHSJJAykfGH9wgHi9Zg1j0lZQKlm
mXmSybaz04cYdjNHiF9ziX3Pto89RpdBTWdhG4BcWMDN5V7iK9B+2oRxGGRiOIHzfPCs/mUW2bfq
rP3koUcQjHKthGwEojDdqiKowDisVEXcU+gba/DuCIauTaKZfjvtdFg8K5KbaA8GgIwSgYoq1JQ0
4cqw5S+tsAnFTe07s3RsYyxSHHy7U2ECDR4tLPox1vt17VgEHszksS20XQIlcdVo1UlrxVEqEyRC
GsDjR37M0wdpxJ+d2T0QMyrOPl5OUy4h5m7WmNAef8TIQaqOSESkyEnQwdNjr/yr1TCUmrLNuVEk
QHYexT3Cq45kBiTnixHjLI5pe6t5SMZ6LuyAa/QqDusXJ832cTPnPGmIC5vSw4utmTHsE34eo++e
JpHfxGVEGD1lRwXQqqyEEdi8SIqSHcdIsFKf+Yw2oRjz/OlWZTm2iD/2Qx4ZB6NlcbQe+eIOeby2
c2Id8/hg6taZKB0TIr72Osb1oyX7e5Z/0Ks6nYwfU4GS3H0VsZBSjMi5hjnwe8xe/fSjm5fsMpWB
INHMES6cZSzPYApQejJvcsWP3BVaG2h4q+vcMkCfyfFejSnMQ9qbmp7t3ISGDCfBZNd5Hb/LOGzZ
vgrFtqXhjOvg1YHr52dX67dxqnalviSBUXCxW7ySo60PIrKSF2F0P5lDzCEFuNJhKOuF9cu1yFB0
5RVi5ityKdQr8KCavwuT/ILDzBvWtfULUDUiyDZ2kabGPcBZdov19Gaq7I02hjPBRcVLXEU5B7V5
V1m9sc4odq16OTtBF0bmzmtJ3KNLBTWrg6uGlrCnTxANxmU3JLFwIKe3SrhBrvslsdi8JKuSQPnu
YK4o7vF78BenCa72bJPSBTFzay25XatrvjRtwHEwiiPLLGXgJ3whfeK+vW71NGbwtYEfIPEuqWDy
XsZKJyhMFe0WIAf5ZiLEkiixN0wf00T2lIixuWSNi7bc9M548JcUMlud+/x3LrmLHy2CyoYxQHyL
uhdnyTBjnVK76bNHcxTnxjb2oW7ctbr3XCMoBS1YEfTBEJEfxqnqDmlEtiV2rG+7paPsZkQYHa3B
UTMkmFd9uHAL2StH3CqTmCFQem1n2fJTozbHO5X6hpHe2y0vrYnly001sH5l9XcCdkEw+Pqt6YRj
UPgJUGAvPPpuGJ5cq3lzZHRbueJiJeqOjuG80kIBjLyu3rxKFY/MqxW7oRL8hmaamu5k3hklzbaK
t1VrJFdrWOBs+brztP0o00PPl8ni8ij1Ol/1xrB3ehufMQUcaw/lus3JHIGdIYwGi6Fw03XdeU96
42/1GlxGN22HZDrrJspfE3XfPjUT5BqNDFxTfZS9/cYP9qmz6vtm8r9caa9Dl3E6BkyiiT3YxOVb
Exvsfw313sm7Q8xZsAEsyOyA/ctne+AZuv09U9qMWg5qh7DG2Ox74gEf7/pTApDMNIY7kw0/Q+KS
lui/cnknJDU5bI/xgcboTgQ1jmbesOakH4s4uffM5KbUlkMiw8/Em16K2N0Vk4AkTC9vXSQ0cGeu
ZE4CMCihBVagiq3YfW14SxInlpk0OGmaJkB5705zaRAns8FimMGJuY8P8NdJyA7QXF2nvUOn+tZo
De+hB+GaRn4SREm0pJVqNg1LKittKRyOsY3cA7Nfpmqg4cMcWhsoy67XdmtnsNj+FYSjhgY3knqJ
d6eXXCB4n7wxh8STB2zqWRQRVofWQsLjvRGbXPjwSbDfQdF6IW3ZuPzEeEBqhXCxbWBFrLuYsIDW
F+O+snhfDMxWXGsdXrbDEukh0slzpTN+g7TFTVWOn2nqmU9ZFVPS0PstaVRKIDNOBogI6IC1nuxh
trF448N2sJLz/5fl/j6uYlIh+z/W2i4fzQey6P9ODfvbP/gPaphuO8KhVCZ04lE60tc/pj9pjy4Z
LM/VDcOF//WP2Jb3hy5AW0Jj/XvU6+/NNvcPGm8OQygLn3UZXvmdkvtrau4//vq/gea8qxJS7//+
b4a+5M/+c3LLY5UUvpdBestln/QvzbapppSqG+C5Qzmx8VBi+IWVeSlmntOD3bzUdKkYkwoPI3eF
VUpaYj0Ny1GI29bijyPBM+ZZzi+TPe07l6jiAm5hV6oKOioRUxiRufXMSzsyWuUlXyz+VStL6FuT
cfIVkQTmqBXkpKLXiTeM+Us9SuLC4lY44wuhNwolEMsAq+xNK2XyM6ErYYaHtmpWhKUftDl6bPLh
xqohg7nRdFuYvyKtvjqjOvmAa4iiv5gOlTCzKYOpyK6iJPJchXBgU2u6iVgBnRSFnXQYhqO1gFX0
8UK6BuAyq0YGfY5h3MOjWZfCZQB4UIeQ1Y0VZMluHVrDe5yAQEunbkMUC9OVaxJ93AB00Xs7z+My
LmatvXg4lbZzipr+24li+Clu0FR1kAHgFHNkM9FESlwwFNGRdGACcEOG8hXHyVmBVzlnKrlNQWaU
RnQGerVpOT/Gs7v1JpJIZXYzAdhhYWYf2e2GlU7Bvy5x19lEOtX1hy7oKu9BU2SieDJnWkhc2gmS
Wm5RbBlP5KLtIXlmAOEB2zM4YrP73cavyMbL/WNtDClNvojLioIClihjA77nyKJKYOn0pFtQPK47
vtj8Z0zavOf/tzMYzbYFfA6myrl+shs11Z8DponhTYC8Xiwf+JDXwG/LNiMw6Qa+ueTsPav0NPJw
dGg6iTTb6Cl/SMlaS0EIyomGN370JyHK0+CVT+xlFKt6MRdDOeyp6Lmr1JKPjPXd5hQCjE6+T7n+
MIjOPggbHwOqJg7K1H56fcZGxTRO2w5kwiUF9AJ/eDimi+MMqbEPHHroFeM7axWJU1mHz7xKbRJV
LJ6ocf7h8vkx9AVgKNqXdOBRK91N24dnISisjISlTNz0wYN1GkUB3+tD1TTkCApzX3mmEWRtsrXH
+MsGUa9sZAdqMrQdyuLX5LoU++ZvzR0ku/cx7+2MHZmWWMsyN6+K8NJwpEGJ4QBqNlFgmeFDjP24
8gbCOlNemruxi4+Jy9s89cki6SBezrUYrdUkCpbEYrS+Scb1RidTfTRLDrB5Ru9TccRa8Ue9E6Sa
94beO9uhqx+nvuUtmzZ7KLLGuk2MDBmAez1Mi2rngUspiwJRqIcT7lPgQe4DSZMZmQl8vfvh9f3K
VuV7WxmP/rKIQkGuvxm7yfwWE8tr4JjvEx3KqDEOb+DbMFYzv9q5WHJuZMbnHGFn5bXhgsJg6QZd
jeNwWk07wET0CnGwSMVMgFYyEl4Nu7x9jDM4a2+mZ74XS5Kj1fEWGVACk5QuZtzydHOcX4CnMygR
OTkmjX/7pMrD6PD5fdKSbczoCwTjNDBH8o2me2tYwybt/SsIXK5GI1VdlTicOCvr2yKOhQa4G8oc
hy48aMJr2SioTBq/9DWTzLBOmejZM/RwzRSqNKA4JnReSh7+q5SeF1ErbsscY/fxMCNUWOxlFIOQ
+J8MMnZN2aNrsEKa+K2NXcyZtYuThqEh97bsw5NGxCgehX+j6NgvLS/BpnvNQqYvK2r0rfcUj+qG
NZHwzVHRVevKo6m1h0lGIFoS8nbTCJI/5cu07qcZgFgz/xIjh96Z8UIWBjapBMrnZepcmjNZyKwf
A5K+E3u3zdVP5AQlkE4Gp9ISvUTxFhHqZ5itq1AZZ2QNDE7ZjRcSldcaq3OTa+J25rsDqNE5qdDj
vjal913cYKeMA+mk0eXR3j30hMzhD6BcTbAoS3p+QefhU9eNgbUK8oR7FXF1lqHIAgJJRNc5ekX4
mfnwBIyyI0jIh2iOIEbHTkN8LJFsp4YaTBGNPotXmVerXG7OdgtgO5EPWR7eSCA869Y2Uz7LMLJ6
A6CSpb9KrbF2etT9ajX/Ji1n96RyQlamxNmp4CJhDYccYhMiWfB6+VupuewILCXAHokxgC64z4AZ
kAjoDhmrSytrIILXeg2h2u4Smlz2DcXEKT9IYjGimFKwMNON1vJLCSv4kIxchfyaQHXZe33AFVaa
c8+Xm0o3tRHGQEk/2kP1DOmQnDXe78pWhXFS9eQdAZbuOk0tdDZ2O6PB2HBDreHJSn+TDco+sPkC
Ly6M5FojhVXTPKMaFL7UA/yoIdLJAVfoXXVumUcwTxc7S7ceUtcidMRg/+rO5A0dNQRsmG5OBk+/
2k2x8XPDCNy8KvZNXcFJGl/HLtsnhv/uNulnobKT51rGlsbjUTnGIfWxaTyLHh9NI8gc/YjHRY8m
6BgX27b8lHHdhfXAM6ti1Yc+I3WxwzQN2PZQGfrBYC1LXE3uQSsSAA+8pp7lXEuqv0ilbgQmVIWH
KeUl0csm37JGhJDk6thBBg3MvJbiHMVLOMf0MvjE3DudDh+sTKgs6m3DynLT3diiO7oq6fZtKY01
MDV4QMO1mgWScjwRInXap96wmx1t/BKtJn6NiuJTKYw/qDdsBNlmtjdoZm00HKqjKEf9LtMYsnBp
3lCI8FZh4QMTT8O9TM1DH1pP0IQa5Bj+yHrY6SvbjdZQPBlw4X4SJPMEK6oZbr0hzjbmOG7Y37yl
YeASzZyCKZpo4brO6yiaO8cILx0QdGt0uKWrft/VKoNkPhzMtPzyeZbuQeifh5oRHq3q7kezMreN
8qaNSOcHKZCUhlonDcCdvqZRSpqegJeF1VKE3vuYwPRO4sswp5hN2rdJB8mwwxszcbtNMbWBEB3B
+LybCFb319pxH+SQnh240m6lJ2ck1S1PeHJIGhJavkQGhc/FrMuPfeihemRGvBVDjU/lgOLQOZOj
MORU9PTHpvB3VT4e1Jg8u0PjrSYPfHyGuWS15q0DFpSvg/ZN2m8Pe+rGsKqbzHXkevaBMHmRzAKr
FVdHS6jDsXnDlIy7blN/P/tzMLf5Rz+k/4u881iW3Wiv7BOBAZOJBKblfdXxZoI47sJ7j6meoqNf
pwd6rF6gKPHnr5AiOFT3kOaQdXFQmZ/Ze+010k36wg5FTN+xoo1FgM1AWLvANOIlVzo6el40v8We
qktY5wPanoFctiojKY6yw639h7QpNhLkZDtE5TJznW040XBO/TMGWbEBmYvqT0BzcDt2RmEgF7VF
rBHaW3KNW859FjcduygwJ6WD53YyzqItWZKmKdN4azXWKbNJvVv6obP1C8LneXgdAXvLEeF2H0sW
CH76GOj1zkEzCadvPc2as6zmxlGtV61Kos9xqzftLIlV5bcoUsimgfORpWjF4rTOl36Dehu5Gh9E
735aO/qBQwfuLamuVac/CHM4+Y0ibZEMGiJkmsdc4V9Pre4RhsxeOqna9C0j52GIH4Oo+CEqzdhV
GY5mNEZIatcUA8MqjXj0mS6+M1wTiMUtSsusRQdsZJuIPEUM/hzhanruWtpvZ0j8pRHzjwBWbYvK
T1YQWJe2n74NaYLDi+B4m5RhyQZzkQaMd1M3PeLyOidMk/FjbwN3YLpj2RePjN3CMVBf2u9WVwNF
ymH0kvez9Rz1CXpoHfXexcvUF7i6xzTFKVq4AH8CNb4MxWwW9wATRs4qD8J9ZY32LQ6m0xhPF8mm
p2vR1FNUbIVDmT1xYwlRwy2b2ntNiQuL34Pt+tReSHJH3b9Pp+HLZUPvdfA1arKFlujsaK2QsyeV
N1wQAgPmq9KU/7/wWAKR8ehl7VlrxxQYHq9wUZKl7sfjObWHaqUF7EQ1x/10baCV/lBdYQrgqe3U
NhbsldkmXUQe7YIaqaQoVY0ZA/nDNHvLan9jCEb6eRYfR5jAvplQGxGArefjNz7Gn9BJUFPPgr8e
wOzGjIh3It0MMyXLtQVDoWOnh3ut5Y0jKtNaxJb7PCtmjUI+SpYgOMz97yIRH4RTky0tw30e3TqD
LPtmU7OaWupD8BxM9SlGyr+sNKXvQ43Q91jj0+D3IyYtNC+kZBDdN5+SSC77VdLDGlNRfggpSXBk
kJEmPFbJkvD1nK3zGqsNmq2yeLHS6TVgHMfN7x9TO8B1PWWMrwdCyNLEYZzr98s5/jiXbbDO+uAE
6yR67EfD3iaGd8IOhC++7fhu5ua71PA6ZNpaq+ObRuQIbHjucqXCw4DZ1e41hwlO/D6aGU5g56mp
23OgA+XUGF2blP7rNC248Qpy3ULG7wGjdTmtnab8QYzuc13Ji/BYnyYoLQvP55kzKVj2iXX1bCPb
Jo62D7IAlR0tYDUhZuUut2aoXlsX38nMW0XoxibLs34SAuT8OE7XVeGycxxHTDbhQwl3r+PGQllD
yB/ffitSu043d0B72ec147seMIezBEFYbN6wYdxV2UC6GvXKompmr7zu3iSb575tzZPgKDlbJCz5
jfMw3HnTSbXtmmyFryBEks5Je6vM3t+OYFXoGVkpF+2zx3i3x65POtAp7N+zJAJiWL6lY32iNatW
hkswfVaAgyWrgg/VBWt9trCMoO/qJt6TB7IZPYijSf3Nb/1K0U4GFFRSSFo/CJ+3YyBecswSTMNF
T5Ow8v0S1HmXXSwaxKGodxISW5OIxyEKPuNoVkroG8etd4hnFw35MZKqax3ozips2ueec43lD4j1
hmeEV2jpeFax69L+q7XVqbUQdqApOrBw2Jsun81iTD77w6MxfKvy+FLl9c1ATY7LhoRH3QHEBv7y
viPeYWMHw7AoBvmTMo5QKXTM2ISsAFcbBV9WINuIehrSwLMf68bYdInnLLPeu+EFv5ktMWp/f+r3
P89+CS1BwpX6r2V2t+ojyLuPvxow//ipP4Z5cKWQzDrI5uzfjZN/xirJ3wSxStKRxn/iVMnfJHB/
qSxXCX58luD9+zSPiGWX+Zsi8du1LOmKvzPOY2r412meKUzLVvzXbKHDgcHkwz//Bx+mXiWUHMBS
UEiPat209XKiLjtmaKbzMOEt0Zxdpxn0h11N8lnuQg/N66VmZrRbVOnwzw/xUIJFC2OymQq7WnaI
DxZ5bV4g+lwZPpChI24kF9Ox/e7VaqsriU3IPVL7ilnKXXhtcCNEEWlQh5YZO0GPkXIMcKzVgWBQ
TQiz0+5NjbpILzyWrNqrF8NoThoU64kO5r7WzIMwDXiYYjNpLmuc4lxq8ignsWHQeq1BBXGTDh+t
ZsJRsEHS9TbzC4fY4TAmrix1mSt035Bwkbb6GMaC1rqPS8gmwCYh9hVVc2yxDp7qfnSR3ZovZqtt
s6jfB3CrjcLZGvOIxQyJdpFdQE+R7YTLQtO3BBl5kA0Ys6/dbnprC6DWPPKc4d0MdvXMgxagOBp8
8gEnk6h0tGijqK6+i+ckqKnNUfwkGwP9/Br2crKOCwfOphZvSCNkmaWqu6wHXxl2dG1u0f4KALEs
2bbcDUP/0iXGU11RM43ZqZvsl0Kmu7hoOMNysPi6W0BZcZG1OV64I+DyzorIFWoz1rFJt+aluTgu
k8/Mzi4mkAaMDTvSOrtWMKSsXCAFBRGamW5uOjW4ICCMiVBTYoluEiMmAwGtNDdW3x4JozUQzvn1
azWBm45oyDotApsTJjUQjjGrA/I8QX7GBntnp6vFcrKwRiyNVn+dapurFHviqEOu7mtx6axiLW1B
45sTikeIn4vcrCVe3mziTYuyE3VgXvyEnb2CSMMqdwhd1CE+RlbJTVVLt2HpbAO3RTaF7gb2gY7N
JI3oulVhzsgtwUzHf3RtNm0lGhCbgv5Es+6sNE1t0EqQI96U4bFroquGrb1w7GRtxe1JDAbhSuNx
NEz8WO571HSXeDafItRDHqoxUWRUq2FfM6LkMDXqFZnr3ZBnd0E+XUtiWcHwV/DnqSQyG8I9Gp91
FBJqo/dIq6HapvLcu6M44p4jBqPCMG3KDjEgyv8gB8Ymoq65ybL4GTX5ogiJ3XstcV82Mnz4l8w/
k8T7aMnsWOnIw9nvM0MOlEKsihI/GYePyPXRWyLUimNta0bA5fvsaSi7Uz6kJ0fNCa5tdvHEZUDs
dKI/d4gCqZ+U2SEjMDUkKPWEHE5Ya3BjjCrMJ5/5q5X274mcWCPPYeBmbbkrU5JD46GC1wMfJFsz
3cKyOZqG+eO12zG95gwzel7Whd/2d5wm55E2l3fQWsWYu80Uy53pIsYbCot1lciWsnfWWoqlGz4T
ilMKmLTKNonusIVug0+/jT4C0JidqqNT0aWPIJ8a8LA+RaJz7wVoxSIrWA0DIUp+jZIqPPfm/KfL
xC4aYIWytwtKVqbUj4dkhFmRMbBbEGrKCpMwM612D5FVncxwwMNp9AQ4F/auIKMuSjQOTogdjPQZ
UelpA9hIkpGpvySxPCdReRNaAqtEFitbxe+NmsNECu81S+oNTrBtV5l7G+UCr205bPooOnCcX0ML
Tk9AkgFtxhpG7EFnxMuA4pvUFvQpnXMnQUAgbWVmCdn9CfPffZrn604vAbpo1rfeMGc2YgQSMfQL
xRq7pYqqlOMtmzF4ASAzninoDVxwWnUYHadbibTbgyXFR4ZBelWWHbP7ORC9BQUdSOQzSp0APG9N
wYzaCtJjTJh6oSc3W4WPeg5+xbQxzeoEr0cEsLvdsJsEuh+yL/niz6EMZLWL1BjOzsAMqyDIfRqZ
27W9eNLnjPeRsHfmmshu2Z4Q6ZoubQWaRhhuuheExOPAv2cY9QqB6R68KSnyxMmrluFTWwQ54LX4
isJyXdaDuRCewC8xte6KAUk7O55W7fx6VpZPMNqcX+8gMV6UuvsNl+PgmxwmE2H3fSOw+YSSQ6I5
NF34HqsCkddkXkPbPA3srHXpPcVqvEw0WX0unzMw0eu6TN+kDfEmMtr4TBC5u7UZmt7XffugWrrn
qq9urh+TgIJNNaYZ0WIbvpVwxgOPsThJR2zb0mlWkYYQbgRRn/dGd8kiK980gQ6TFnbQVmS6B2u5
oysztAdPF8MJY2XF/ggFVUD62qo32nM0iQczkfZCpdphQgHRYXshhAbDVdFivJQ59WQ8HiGj02Uw
ZOWC9pOFgMc93xmID2pMu+6KxvAxGLsjLe5lQnsc9rW+G5JqbyMtIyP+QsLArp4YUObBu92RFWBy
5Dthu3a86Vr01o5HcpC2/YihdSB5DhdL0W7GTOcGRjcEbM8ryqcCTzUDGg4shqf4ogf0qdkr9M1j
o7e/6qbe1NnAgqc96aVeEBUQ3xrDeu+HaacZ/dXQ4RXxEelNyRhb+aV674bo2Q7Ttxq/If7YHw4e
rLYEwnqN/zGRhMieJadrNz99SycmsvcU2dpQpdRYPBWAAyuEeItGggWM43jHl5JXoIuxHQovuOtd
tA5xRc9X+cyHSONw0QqOmfcQh+VzBtJ8mdhZv/ZsUIUhkP84KzdRDqSRphgNkd09sEpGmWMSKxDh
JUBwmF5SJiK+nu/wEjy4IwFCRiAqbkltm6Pxk12IsQtcmG/IlyEYrlVt/3K1tmCPVE9La6y/xyS5
aEb7qmmYE6FEffp6ee/B2S7HRMxWZFx+fXxGe7IOE/9oCWJ2FEPjMku+UG3izyOUvhmSe1VOa9MU
2TqSwS4oDFywWH2sMgB4Y3/XfVevZemdCdMj4HbyOKSjj1KUm1p20C9N5MhFelSNHt+sSUma4fxm
CKA1eg8pxlO0IZPGiiXy4mOv1fpLN6QR9kedYZHTQwNOPTKgGKbrLbCmUQd8x+2A4DprMN9a8Vop
7nKhfk0JnS6OJ1bMGRvGyuMh2sJEFhYF5Grg++C4++5qKIS1I5KV8pr3SFXbhOTGq0JHiF+MzcQ4
yGXRiFvqaZs+yJGqDdbVcaJr2TQHM0k3jW2f0gimRzGOBlcbOSRE6kXvw5TeRUPO4ZAPSJ34TprT
RsDK6tDMGd504+hFmYyPwdNmZuV0SJUBl2da2XlyGNjnmpVzUka6T4ehXmg2otUkuGdpXgEnSXCQ
5ARVdASOowRjTGKtzD546Rtg2LLeqYRU6MiJOe7ACBg+gRJkSyJLPSW1/dS3BDFWNKeqZLusaauO
3BGQ2RFjbrmGSmiuYgypxLc44TZoOux+Nv/bv98b/r9q1GJvaP23AJ/9x7/+r3/yaf3xM//h0zJM
XtM5ZZdtMDm6/yEGsX+DMOw6jnR4XWdpx59iEPUb/GM0EZbh2LolDX7o3/tH+zdigRyTcxENB+2f
+Xf6R8Oc/1N/lYO4rnLnPtSgxzV0559zeTuLOWk5cJjUbJ+lJXcNImI1q4lJvbxyzBEq100LoTuE
Lwbt1pg1yFZeX7njV5IA8AaRslvIvUK0PBXWqWn5dtcOZvVh4SBurkKEEgzPz1qFNAP5s0AGbSCH
jpBFkzfSLrjJX1SCe5uANmcxIaImHoBIgFAmrE/sAMNkeAxmzbX4XX2ddOEuRZDtzMpsrLazmYUU
thLhPB0jGpHQ475WK1BbH6xDZ6QedaI/q77dQT+EyMB9Xb66sy7cqLIjg+Rk4SIZFxrwd9BgZ6k8
BAf21pA6URJ0kC6nnzFod7VRX6TRb1M2cqK0HqqWcBlHyRgujISbNenuyuI7iObrvTQ4fTqmjDgr
SMntgA20WK/h7DkI2dIJeSsEWE0+uImzKaizl2UCA83qJrjFxUEjtd4sbWTVA0EEvn4iNwweRkWw
lY7uaA6++qJNesfU8DRw3xw6rVjpsRbsQ9XRldjrub9MuHGHFpJRiBAAVoexy4bs3Zb5c2vkDzWj
RmQdZzEyeJdFfGPg/OjnnGhJ6F9LGwyc7Zhr8kYCJLfYLKBg/+Jl/3QBGXGf3bBYL30//gVZ9DrH
N3vQ7ILRwTPETHbqs3fQOCm+B9IGffWk2LCGtVN8joN5b9Xhe+QPa1mDSBuZzGf0d8L1ETH23UlH
6airhDw1aeE4RmjsEs1T8fHo7SEsz4M4J3wvXPSVUzvuJqnwcFkbH8IqiyD/nrgwllZm8xB0xdEl
erMeagsksP1Tm0a1KDTjIGZDn1O9GnGEgrOKdn1pHDJ7fBrhnlBJW6tkQMYc9Pu0gGToWZhnmxFp
uJyDBMds29e0nsWQ0RIgPSrL+lnrWcSprua+jPpXd5g+fK3Ltr7q7rs21vYVpTXsl4G7LUezVxZB
wBJQ25bdhJmr2opGiA3hYMxQ4JWWUO0nbmbfxNrvSXtpwY1SisRCl8ercc/wRb3jqu5vdUecn0G1
y+5qOI4tRI5eh0uogGxE4z2fb9cGxtUCW7oC9gNja0jumik7JLZNdBIa4xgAqgM5mx6bUTbeNGfr
RXhSKvuenavYIC5giRgIft8EYbm9sUmcdGv16LT7ah56lNlryQSoKMyLBmyDQUe+ZTtzloaZrCYX
IRHF/grlQI2Y0rkzIxbhfsEGwYal6SrI0HZV7EO04kLnA5b06DVrB9jj7uxKg2KhHmPBXwD2ORap
fexj3I+dbPhWog2FNfbMyXkEKelvmsl+NaoWtrUL0AK/WZSi/q/VA6CZX7kVn7NOUVJIeS4j/9ga
yX0r40cl3QcC8Lapnb/aXnZJB1iD7rzzLFBu+Mp/zDElRTK015UILznnzoK83ecpSs84wUEx2+Or
GRX3ThIWK4KIKRvo5JbN0M47/ypHdmPu2mg4E6CCuh/ppuFVKR1V/+WE1c1LtGfhMHCwvddedDfY
hjxPb7xnvLbR6EjI9L0f4mJPQtHOBmK7koRepCUkqcLE/+oCbGbzjb4F5GQ1tv3OFH1I+km08cHV
g/hEIaNlF830wFGUbk7QDA0EQZX+OqXnVxO+gqlpyIiJdrLuz1FbUq919rfph3vfQBZXA5Rm5fmq
8cMJyqOhC1CnIYWQxDInI4DxFrwK3HdpANENzriEHHYvwbUKnY/O8e7AJmykRyUUjcE2cpOdZqIL
dJG+s53R6XxnB4q5CXPs+S1gpw7wkY2AYIl7BrUERVlR0+S7oTpm4aoI2KJ2P3xEBHsWBZtjb3sf
uZWFamwYTl1gUM8O9wWcA2wexMCxAP6MHLbUenGLRv0eFDoOVXGumuIrsIKDh6uOrTNJo9ZwMEt9
ZUAva5yC91Dbtk3rsDedNVKVQMdVW8QfA6AIe/akqCveSMNAKeCMe87qh7xON342s1fcjN4YxlzZ
4i/sMtNdNh1LMVllp6KMP3wvu8/T8F0L/D3l5E4juz4x0gKTP2AIK3pEE/XLZHPh2dUFWB1vbk8K
VZx6K1tkWyuZvoI+vQ56uPaz9tSE5WMzFTBbZP/QVGrrkbHMo6ufgkiXOzsUH6OLOYjf34fn6uWq
pweAnFpyvQzqnI3TnnVDtLMMcg1dkBBI4s/j6MGhDS3A1xTtMYHgVKRMtvrj5Effukp3AeGUy9ph
4TaZ3s4gvWYxq/4mUZ6Kds4HdxWZjCJfg10XK0PhfeK5LvvOeBItDwfDe7IMnWCGMOgb0wqwjDFW
iyvilYPyadA7fz3/i8sxLOXNwYm6Q1qVcKdzNifmftTrz6oHLewPT26XojtCbeC4ZPkx3IHzWUxr
AdgVVlbL/cG0OdTXcS6fmgrd+5AN+1y6nKqdeMWC+E4S3M6E5ZLG/WIC2h+h30H3hyonJ4BFR/jn
JPHFUWpLp+syKO7eGiy6cnSORjrsSSx9aGX6aOBp2GAfP6Tc10emT+x/GoNoLDFwhRsGDVmNuCZN
3XNWys8yGJKlb4/pNi/9SxZgtkD+cpvwmq9GhhoLtkPmkr89rCfcA5uypdFwGRdU+FjXjEKPxdhY
B0Yb9QLUzDM5daxXndDZO6H3Yoo02A76cCwKnlmPuYlgUWavnvcTeuGHiDjLExKPGrMZdmbuPmJh
pa9JHHPvp2NxINCQV88XBw5xGisbmknu2DfMw4SP2ldvxuYw07pq4fTjd/7B8ieNTIn67EQlUN3O
3aRmgVwdd8vKzPX3SHb2ukCCTHWAVcnJ57mxGbabqfNH1LuYlTV2B0uVzWJI3WrXgQuyta+d716f
2i00sI3dcuvnjNdBIBdrxllXxDYvMDCqDeuSN2+seVSZsRd6Dp9wOrctQS5oo0CpzEkL/riRyu5P
bgS3C4dks+hC7rgWG9G6oH/XGdsaxsCMu8bwmnaAh9HskwxJclHSf7EFulLsdseGlPdF6bd0lwmF
YAmRAF1j0AJfJg9j0h9KHcVXKB6DVj4UBQx57LRjqPgqXUmCP0ZOVG8nle/8RMIW8bXNoJIrqgFw
/R61EFOxU67Xm6jruXN6BMZeCNFwmL444r45LakpXTBjHBpJ4dfEQAXaodfZuE5806UUDxq8hQF3
JWzplNAHj0B621fHKcHlpHUAI6PufvaxZ4F5NLqKYiC2XisDwo6oEE9P+nMMOn0Q7a90lI+RryPR
c4c7XQbJB0tpGtGu3WAOcReZbs0yDQmBzAQbGLhe+IlVidRSTamrMlCW9mV+5/n4laRdPBQiRr6Z
tu6iizXAg+a2Efj8NDLbOr9ciTFLlhiTLlNS1tACmg+uD4JQifPge+hfhz7e5TK8Q/TKZMt+yG3G
wyF5E2uvNe9SzVDflWpPXT4t2vlzNlrxGqrpSju08wzSvKD8hCw4NqHh7xiUkeviNF/InX78xn3u
8LrrVcpGoOZyhL21YAHPKKNyYaLjeyWO0j8KYOkd0HTY//7CmjnqZOUZLDz0C8JmXCQtI2ZM1sdp
5q8nk0ofvVEyezK/CDdUy0oOx9BUDgKz6NmhgNM64HNZoVA4yfOQoyybWLT30Y9noUfSgvy5zOXr
BBreq/NTEMmDw2wvBR1fETxq5OUvKxlutQlaPoOtM7PmodStvcnioJ859Gnjryne+Vp1iGeimVbv
mbyKwBeaMDyjgEfiDtg+mwn3BqlbAZTRpa4zD1p4RgNOvnPfJJSP794f2H1ghWtmZr4O3P2McMre
978j9bE1Xr2Zsp/D5awoWY4MzR6TmcSfzkx+iQxkYusf6U06Cygh95si8Df9MGwpBRcpPgdGfvhQ
rZn4T4IouLoETQ90qYpQACupon2PDgs0V0BOTbd1CBDoYhxyntRfIVZ95QMpAfZA2kBJ7MAYOet6
ziGIXHtt6liJhjz9klwi65R2at3L+tAg0KZCzLfhnGzQeN5CEHWArg1PYH2aiEAo2eFVcyaCEVp3
U53v4qx9cQlNSOBjLiA/QQ1LqIf6a8sSstHKoz5WRIKiRzbceMnJBARARg+cIQc02p+soDdBan67
c3aDnVvPFf0roLRo1c75DoHGZtcieAufu/+hdPpwfc6D8DP5Ws4JEYKoCIYGwOjm9IiJaRrsxsdq
zpWI54SJkagJp6y+bH5lVCtoIGH28bwIpsBGikgauFQyZ1YUszYHpQQpJBjcw0D7JAYCSAh2Ltwd
JlgBP6xP+KbP7Am/cphNJLDRo2ps6JphmvEH3G7NnKQREqnR6Fq6rOeUDUncRjLnbjTTR6Fw5Q8+
9TDJqgZUyIRAtuJF4OCbWBV3pv3juVN5wsCy1mRyHOecjyaIjRP0fOsSzikggGdfuZtBj4RIhqw5
K6SaU0NIaTS2DEZ3+hwoUpAsAv73zFIOTQV6fyx0K9Ay8yoUcus0WyKbeTJpzDZJCa1yzaRkZSVw
DCf7vZktlXpqx4eSYqIU3G8DvssaH/Wynq2Ypi0wjs/2zLyeqPwKnVVPmvBlw1BXuZG+GvF1pm1y
cYYA9xuOT5eGZpvNJlAClI2zPhtD0yo6ezhFcz97MDwJo3h6dabikepu4/jqV82MTwuzbTRbTg28
p7yvxblDzJ8qllpqNqhGKVV4iGeVjBBUK8kcy4DXYra19lVisZHH6kpMTLCRs/01G/LkVM2W2ABv
LJrViyj6uwEX2dJ3WZPAU25w6iAGk+bcVc422zzGcBvM1tss0SCZuSyiB+Nd4c6VOiJuqK0QfMEH
8JYCzbcRTePp9Tp+x7IgGxu3L1EMrxwdTJvxAUv8wMbo7LAABcvSGXf6bBkuOhO6jLzH68Yz9ADI
q9lgXOE0DnAcQ0R0lyhJX10cVitttiUHCPtCfMpGn10I5zrCWqMJmq3MUxdiqyWz+Nmfjc4Sx7OP
81nr8VTMVmgU6URx+O01mG3S1WyYVrN1Ws0m6mG2U2cqgDI4W6w9qT2Gs+m6zrBgBrMRG+IzAoX+
x2iwaHPnY3OmhOLtTnHudPdJqH0weL/3II4uKj1k2s+czLMO4JGOwe9WcHp/TcU4RjH5DLNdfJiN
46Y1+pyPeMlnU/k428ujoX7n6z4H9xS/uEwx0vKnlj3m0xF3eqCJ0zTb1YOYDR3+dRyES6tzbgpf
+4i+Gatitsj92TVlA+uwccF7eIR7XPFhYAFTi7/jpn7RcM3XYXt0cdFT261zXPXsOXYSl33rTHBf
h1MjUWh53SpL0vsAVz6Wt3VhBfcGNnFMwpcxYZPiaKRu2SQQN47xy8Xh72kocwM8/1RaBwEDAJv0
iztDAcSMB+hV+up1WMFwZbjwA2rPfDRnoICt0CFqBYbSbkp/XKgDSqTI1mYQQTQjCcIZThBCKWgN
aE1QC+YweX3UEL+AM/BDdWlmwMEA6SAMkEuGoA8c6EfmDENQpQGa5HdAQs4AVM3QhL8/H/8fqJ2a
k/T+O+3U/gM1f/iv//uf1VP/9nN/Tr91B4I9tke0zI780woJj143HLzltqQvt9Q/pPyJ3xxpc+Hx
a//n6bf4zbKEIXSlFBmATKz/zvRbWPpfh9+MzyXDdAb2urIMg0nmX9VTuHBKbVLUNWRXJMccQRRH
qapXUciak43zdCLmy6reptlggkJ2lwU98AloQkwIgN8KJpzLVAQTMqNynQ9e+QY25Iye6il1jXZR
qET/mdLcQgMLmYKXf60i+2awFVqijZ7QLhbhA+jMlhUhJGHV5XJX6q0i3txnkWn0AF9cvS3OQnRE
ZcUOYHKaLYZl9klzzF2n3GhlNPLENuzWoHCnKXX1RyrhbJVT8rCoFlDWiNR4CUfR7ysE5OT/rvo2
9djkaegepvhtSBTuJwv/W4jG+alJRm4ddxhW/ejZmyRh7lYrgKIufjOsN4gvlS+p983Q/jSygVEp
y6iFxtZvgRjmLUStHQWEtjTtEJPSk8DQsesVIX0ccW3+bWj63h6xnseGtm8UgiQW3nyNMYiZmA7P
EYndN6PFcBo50xNj+30/TZdiQspg2U96SeHcWvF0gABtrXzhYiQBxF7XdgkG3rpr02rMlrkxvaTO
BP3cFTju9NxD5GOOYteiYDoRM/skB7/d0fCgeDOKHg5CaUe31FTmhQdZX4bJq7c9a9YHogmOHBXV
ZwVzEe6Gbk6PVZcy6PEaxBS+pVmnwR6pnf01EBJ+B6OaCVNNf4piLK+exWCbEBO43QxAbEZZFInZ
OjNa7xxGCrtCX4iLHffpKSiIailk8lgxNj8jbzQp1AFOUnz1dBq9bx3HKfBGmDUQBlLGTm9J0/k/
Zami49SHzTXvHWdX0EuEOBNCSqdsOCpdSLz1TE9kZp5F6uqXPghSeFsQTLvZMaQFSq6y1HlC5sYk
N0YLktMDbkUl+1ceDnDcTlQVomEcd3hxrFNhkO7iIUgnETe/sVohSJxR09oRUj4kU4VIzmrcm9mQ
truocEBmvOKzj2dkxY2OjHJ99l0Bo10IBGYjqVcb4r+GEwaW/o2dsL1Lnaw1FhVv9H2ORM0iomap
kOojL5jmADCURsw20HVfnH5s+A7rl4qFvN/VWDzQwVno4cB2hjt4IriNaH+aJkX8NMvnSnR0USZe
SnR1oO93uPyejKR9Ueju3AhRHHupX3Zijftp/ojUwHdjOBGYNuZopwelz7/LCKktEn+tRHqJrwg3
nxbuqlzsptSgwIQVwejk1STIej2CHF04gXzSQ3Mjc74zAtvPGofE1umNF1kDfhg1P4Bu4myDIt1k
Q5kwdxfHtgxhLhfb2GdAG+qpdw1D3T+HwZhs9bxGeswaCxdk2alz77UuKwEHSyYzDIf1EdPdXgea
GrMZeHM8h++L8YtZVYAnY0NAWvKS52KfAySEFSCbHdHhjz12ESBiLzkTT8brHQusQYZLjbC4BcD1
XW/nd5xPt0xg5a4VuEBnVpO0y6bpjjJEqilFQz+c2uvJJHgxZwsCKa9ftQ2Z1yWcGl4e0ut8nSxF
4Zsct0O8iU3tI2/YWDW0mAw+Ixmt4kTrfqLCCg+osn+MUOe3rQj7TfmO2l25QoDC3L8SBywvhI3B
3YvN/DsN9b3L5MVz+zcom2iDOLMeo0rxiMm0XtGVeekaqmt17JsyOQ2QlcYiLWDr1xfkg90tg2IY
RBXpg/PcskuKal/46F9VfiWTmp07UWPhrZXmLxEDWbBL/dy45BFRuxBZ2uIkmKrUfBrCIlo1TZit
SAszmJMOBLXrRXUUXdwuQRkfIAVZB1IDNQ4OUsYhz3R74Q/WklkDDiiCzMpHdxzVLkyajFxqw5f7
ZGyqo4zzkmjRYWoPQ9xhl/MD66MK8JjYo23vEdULBLMaAPvJ7g8Asl4tZJ2LPm0tHlQ7fEu/zA5V
qNmnrDEBreWmfS3ILJEx+gKm/s1nPRB5bOQN2N2sDfcyEghJea5MlMXKUeXOHWSirUy2PCaEwg1C
hllinPQFMcppvM9K1lK67/oJgSpBB+jS7Y5WYoFjT6yn1uxQh4J+hqM7Pti44kw89E1JRxBbdIUr
bGIXB31jib96YQVw2G0CdoH434IiWpMFdshaV9sw5/pCZJd9YLrnwoTTvi3AaLB77L2r2cbrtmMD
GiuuVBERz6ey+OoM0efAn2Lz/0OhhxjdRZ/+X4vkFx9f/+df2r9q5P/4oT+qPOQKaORRn+OOnhXx
f2oc5G+uMmGM2ZIh6l+BFwgZTEfNKl3qr99LuX/QOLC/5m9TlSlwUIQz/w3kBbL7v1Z5uiAdwaTW
dAxBO85H/2uVlwOBbvxIactygLZiWma+YTq/Fw3k8//L3ZnttpKdWfpVCn0f6piHBrqA4iRSIzUP
NwFNJ+Z5jls/hVF39SrlCz9Wf1vUOSnxZJ62TaNNNAEn4JQyRG5G7OH/1/qWZuILdZ1bUB5gWwP8
IJJhY2guLgyCJBwphg9t+Ee17bgTWbPOEjUm0jTRJ0FKNzb2WXb83JsH2XhLNEg1rwlyoYprTMco
W5lyfdsETNs+tVzy5PvzIhoJroj6VWQ5V3FVEydEXs0kTBDJV132TAbzRYyMCdK0+kyUUIMbDSyO
E9/UmX0xErNek5eDJVxfyb2bEk8RXJrM98Q2Eu1Z4hfuVcmaGBl57PDODn2bVm1NpvSCfvI3Ay8V
BaLuxoohSVeuhSjCiC4QOYwTf8AVVtLxHqmr63GJFMnoLuRUfygaet8VzWplbPyZIdooGdB4E0JR
2mn05VzjVdLxYTVWUx4DeEQKXNBvMqr+Gbp8MZGD4FKtU3VuGMbdmFJGctPi1sBLShcsu0stdhum
nFYnjdmv9aS+HVrz0skssTU5icruWMmL8dgelaVDkL3MOE4cLV0oRbuQa5ZVrIng2CD75ol02viu
cp4kJZ23gjDi2rWXI9iFlkaEqrn3g0bdJVJkiVKDG80Vq5sXtEjpPblYs8a3OO1WNdFAkO8bRWYu
J6ZYdW/cDu6rottLQ84fhz4k1Mr0yNrUD2Mp/daFyjd/LM7gP92RHgtuRCVHfgz0BUFY5jwV2nk2
DsY0c1lnx1590SnSSkHrn6WEWhxxw8wqmlrPaujP6p5UAUNV4XVyIHAThTUPx3tu07YeD+k93Beq
+lqZAbIWy7hRy2yGWffQy+RXjFuiiEmcMD2zGekWcFGJNJ10FFlxl468Qb4l0KUUq16LAPBSJDXH
YGdeR9k7j7pORE7ilo8MsF+yR5uLxLqlr0XnuqGr14PofjVd/drZUcEfZf+WJH45reSWSmTSHJWD
T53P6wA868fSgFbOVOs3KWxpCo0PQ4cfqwrHZUDOF2UKyVtmvXGoCw6SHBMeQmr2cyql5bEKLKmM
5CUi9ohqvX6CgJBqdI+IR4/P6Iex4w8eYMtj3xMYJhSaRLaoeEMtAWmybXBNNAVgLQFwgt21MgXS
yfPHHHETmKdEAJ+4xVNaUry5UOCgYgGGGkcTjiCsKM1o1k0LPArYIk4XeFKB0t2GI4ApKiigpmBO
BRbwqdgQMBEBpDIEmsp1gfZVAldlwa0KBcAqhWSVVSCt0ne4lW8d5lJ3lzL4mcBfOYKDBQ9LDdQj
xTsKY3YMApXlV8c4WccjXBKrQtC0nIqOrwpga9TzmQ5wq8gxYALgCgFx2d2jCpZLJxuQHayFB1S/
cAW5i4UPjAEsrxpPuwXcyzBLOu603yPB/cpKdTqiCKSuu7ABg7Wp92poGcg89QYo3gPUjydfkMRc
wRSrGBlFUMYsnfpy2vEIRofyQPMRHJkb8u8VOlU550umHIi4GukNgmFmNcwVat5wtGWbq6PLaQU9
0PZXDQC0ChCaIYBogNFaFY2NDS6tHNnAsCmh1ipYahGyzyufZtiDJ6lnxGKBoAC9lgXKqQWKzdbL
B1ew2VwgbapJaqoV4SvuALipI30qWevWKWi3GMLK3BS0twzsG4DZbzgTmNOM/LkXZLhRMOJGYHHj
2C5jQY+rFWqBgidHdAhkOcGYq3vrlTR6GqFRtQqpG1SCR2fX5bQUhLoaVJ0kK2t2Oku9U08MUHZK
r+uTotWZmUvz2LCIzDNMCzGJS6iMQXoap4q1Qng70ieMHEqCM77s3NPc8qOZJedXFjnhnQgMz5Gx
LzKRId6oN1KDWLnv5Ht+zcUY3oqJkejxnLjfw9bXlyLHqfZBkUZjA6jWidGjGG48G1Jj5ZJmjmnm
GhT6oUbKufMedw4ignzj6JHcqXUzhmdVbuCgp7uiRHcptoEpcTInjQhRZ3atZobETeRTJZ8yjwGT
atfBqK6RRqxCxcQyy++1fX6XGMVaTaVVRWq7GdsPmvUkrVNCSZl1WWunURjftKp+VyOlLtSCE71X
P2s265NBvws7/4h2l9+VB+3C0iraO4iFSptoW4Tr9H0Ja5VE2HzQYM6StYQgg/hIFYH0mWec56VN
xLxzYRNaDxPrIW/uOVii/Bap9jyM1ykx977Iu/fLDE5gdG1E8rljk/pO6hVzZTQz9OxRTpLkIm8h
UJZIfKAhece9kz4gQqQrBPebbNtbRBvxKrDHla6CDwkicqgSTrIdWV3TCN+b4soLIFPkLsgIxetG
vhfap6pNT9BNIKgh1kuBITKJ7f7ahIODsdV5cLMyPW/yYh2HaJOaGjFCpTtzpGLnmpfEF8ha4IPn
2rr200umUyHwCowLpZNOC787qiMZE579YLjlSVM1d7pMEjqZJ4+Wj/02SLS5G3uXYS8hisujhyhk
3oYQ3l8alZGxZBUvqda8uXES46t313LRUFVKznMhAVBqNb2iKrJmHsaJa8vsqoypzhNSFOarWSGp
aQJUGtB3bCcSedeJNtHyojmW48Gc6Fp+OAx+iiIE40hMvBbf/kOuySfhSAm6YhnK5ezWz4ynEUcc
egxc7ZHy6PrqgxY0hx0+FmpBHN89FjXDSToY5cztnpQ6mJLiQ0dCpwG5ApFdA+WA+4dfRbkPjfAu
oMEziZmrMWoEmIojop6Jpesnba7PB5+Ia6tEFhq2xNQgGZ3qWYCBXMJmUhFHN0Q6gcVDPHd69GEV
kbL0L6gKBHgMtMCeRZb6VsrKPTAVZ2bCSJ+VofLY9HgYbWM5DJ5zDC2cCVAEYLXeTVIrHPMb6Tpn
tzYpDfs04eByVPgEiJvxN6/w7rsup1dmmWeRlslUv9RHTzJftHJMZrpVmEd1lT6PRDJ2NosXZyW5
g8VgtfEd1O5vtuaa85DmyESS4TJGrOHk52gnpUq2D4u3O7Xzet1jRcNUDPRMhLoGUkuOeb/wI8c5
DnRykwaV/rFDFqwuQmGdSruRSImlV/lcidjYSMFggJYgXZDscuSKcNkqKGikkDebogAm6+S66Jvn
iEM2NRWiaVUb4hP7DWoHRjbjVAAPjhikCYw7hC/acSBCbqlOsNmRCDuJJVRDOEHuNVk7YVahmS3h
sDREfEroWMrh0LI361Nnpek9MsOQRUS3LsMa4mccw7LKW/AafndcCc9mZPVsOKy7zonZzIf+SgHy
SmEGilhM0nUQZCtm1juVYYx9Z4lK9LzKmVLtuj/rvOQ0r4a3sdOXGoGOU/x7pJazZ/TycYXP9tEY
81mR9feN5T6PkbKwivpOLzkxNFScj/U8QK4/8jT4ymVTmzlrprvoHDxnjvLmhf5NFcqkqybXsATb
Rz2SiRbEZjgh8gn0iVdelGpCi1jhCyEd1J4TtOzNkG9eFl0H78l9xZlJFZK6g9LaMxWEPeYJ1ugw
QAKhdtkRWVzqSZkygWsKuY6K5+LXKZhtdcSmgcPzVIO6AEIy09Z6P++0/lYdMygMGcov7ZascQyN
7EC9WrtVPQupYSXPKEiZQJ1UClJVDdMnbo+CDFAJj/x5IrrKFMkTtKzXRrHMlFPcldS3b5nxugDg
PWAia7yLfWsRtVF13DFJWz2Au6Goq3nTeVi9AmWOOe4i5gZb9ZxpfOIzJ5lEMuwYvVYV83aY35h1
hQgYySJKvIcy76PDWlYvlerJKTPoWybEAZ5di8cGGVSaSjB/lQg7cMJkCWMe7gw4LtB1knSS284Z
5w+yc+Lg2okt6MSZfQ6bGZ1sJ+RJVFbB9Mo0nVuZMFF4wS+y67x4qYKtqM6lRVTFLQz7/n6QksdE
LxHZUfjN+A9dWgMTwo2eQNUtJS9lTcvNlRLlPMa4qI3xNkxY4QffutIsMA8WOKYxu0l6esudIaGI
kGj4GjF9a/1OVa1lieip5QwAMetVjgApaRrRzLiospxMgCBZN2hvtdRYePp4UrrAgRHQA+jPDyUu
elLUxYkpcRBDjK4tUxvBU9jai1Cxz5XEd1FsNiBS0TO2NCfmrSFjTYxJd3Aj7ZvlElQ3pB5HMcVl
NnPOqs699dTyJHT8dRy8Z9kFl2HL8TSWkifhWjFdGUdvTgMAwPlcrqu3KmmvoZQ9JlT9J45aUn+M
yU2wYhyOuU8Cqvfi0HGf1yqW0aRjLEMFkW1JAPGUbZq2gG7F/BzZ93TOh5OCEEDStFbQnKFwFcFN
BRiObx8Ooi4+nAKAxlMWeeKsLWtcxb2HLJtowrJYDxjemQm7i1rDS1xzZkNrMMw4/qiH6jDKk1EP
LwkyUKdq615Q6EinveqhAMb1uMi7IZxhMXj2de9KqQBleDxRGHTtW6OkfIjhcvwHik//37pwZIpH
vypRXf3lT/FT+LVERU9P/EcfJSrtwNZVyomWpvMP+be0JBUXjmbwP8pMqkZJ6rMLRzdIiKN4RJ7N
Ty4cQ9Ms2TRNA+yCbP5dFSpFVKA+hyXxNyzbNIVTiIsq1lYfMje5bVvdM6Y2qxmEQPz+akXWRTwu
4kFVFi6GSzy/Z6UU3CSydjU6pQnLK3bnSmq+ZobmTCw2iFNiQJ9qzLYrj5LEJDAdBGX4W9QWxj8x
KjP05Y8O+nDwa3NM7ePKVIpzI25fyHFJ5gb7LvBREW0lQmXreeURbJ1G1XWK9H9R4ZvvLVFSsCt2
ecoyJ4GFbZV5bg1UXuOMjqmrzqp0fO6tGvcz+XVJoU8rPz5O+uzQYBcmAF/TRKtWHjuDUsmXAMEN
TjrtcZkH2ZmPdd9pwhtDqU5d1XiQS6GsTtHesCVVEYnMA5aJGbC8N4gQc0lTllkXnmuRNg80h8SI
9rJorEujZ+Oced1ZREdlBolzngz6rK116H5ssks1erSL9pkQ+nsvKofDEiszhZAGiDf6JSL6zinf
QIRGYzIp9e640RNAj8WRHI13QVWtPbMnWbM6ysAEKPJ4rHnOMkb/ijK20yZAICiryekz4HYTAZJ5
gxddiO4gsCuKcRY11F6M7lsVq/Jh53YltS//MJA6XDbyeV5gsrFt6bYf2YmRg45kornvqxx4YCvd
JHl17/p0PhJFeqS8Mes7uHBxw2xLcHY2cp+k1crWNQQT1bNBnSUe25sY90aXV69A+5NFw+eeFMF4
GLZaO1W53xxDuSui8l5v8SOEJZgqqu1FocCRd+lVBtolJs6WczEoMt96QkPiTZDfP3eWgn+pdboJ
HZe17Phvls6E3ZkLuTcuPGE4agg1Ql592znGTMr7xwLDe+ui8UFuheg/7wBryIVN+ZKtdsJbDzkR
NFZ5SqiDd2Qht10g58OWywnbK/sb3ZIe6hyclgUzmc07mAIv4CBD/o6nlOzf9GYaW84jMPV5gjXU
G5N5a1lk/BI10Yc3XZgeKVJz02YJSq5QIxCnrlnARayATeJtoLvBnCybagon9IpEBOFE53tjN4x/
LMhO3YQTJjo1qBk16mu3PB3QEscZu1QlQFAHVOKOhsxRWQVXGQHl4Ziu6oGU5wolTBRHR6MAAfTx
sc6TJxGbQ3eJsPZRQ2YM9S9EzdbTHspojhsICOLa4ntP5jzPPn7p4ahq9BditCAAaEdeh82Akkig
98d95p3JVETncdA+6L10qKgEYg/xidSRDx6oD55Gw7/0L3waaD7VI/HtGA1QM9SpYTQscJnP9Xi8
cwMlxvROVzq2mpDNgnwOkWHm+kY6NVV7UcN2RUuPeJidb3WE0meWh/EcDDawWWriUlm+1GFzUsAB
mKDTPfbV7tTLnCupTJArFCszJuGokBGUVYdFxOMYBg+FrVNc669op54Hek4MTXXYU+9tYJZRtL4e
6DFPiX05IQGeCBcBI/AMl2RVUB9yNIsze6EPCZkazjWgMCAPmXFq29mCb+BJyqKTENcT/FzqvCUM
EFD+oTtLWuoMnsYZkByIaa13h1aIA4pMuDlu3Ksu0tea7a4NgXWIHaqApYxlRx2xJ5hNemU6mEpy
QNxZhzTE1e/bkgOMWrTlxDDG2QAce7C6u0TQsuGrgVKmI08c1qHUdiVHtJYdRG87q5IzMulZd9Td
mU1b9IAovafkMAqGCBynOKjXZUeNUxCealBPAcgnKYESCYd2wC/fznqwUJQaiJiMSNbolnFhv1mC
HxVmhrlIPONSEWypmuSuKZhWTr+ApyoAVDAMH2DEICOXyaYGUWVWyWoEWeVCep20QKwAXb9ADcuX
Njwzo6bZbJYZxCs7n4R1c6uwpjhuns0b4FgxOzrkG0ukEAvZk+dUhUg51K8dOV8MwLVUIFs1NxcZ
z5xRGyis2Bl1I+TkrCh3hO0eDq76lgDsMokQpvIzkH0q5kpSq0F71SC+CqufK4L51WMFSQQFzAIr
CUSE7V2FFI7WbnWixNlDAjzM9B9HUGI94uKGbwQowm31zhqDNl0J+hjROOtA8MgML3yxAZQF6pKs
pSsdd4ohCGa9YJkx7leh7KwrQTmr2cdNKkE+a7TmIsQfLyEeIXzNnhJW+xiqjFCYKcuxs5e64Kh5
eX7SAVYrZHwUgNaABg7YEKS1Tv2MdSleuUDZ+hCGTyI4bS3ANv40dwgCaa1sTi3BdFNo5ZDbt8Ke
mh7SPT3PUl0hNhYSnO8gSBJsOKPRztBee8SnFm8klMOUIwkdnJyhYgFELj3RLEhzbOo5MAKfAwx5
qgGjQ5kwjYDTWXSLQYf75zbYunbDr6PSjppzPZTewgRxhzNWeYxHbEIO+Lu+8k57wcOLaNBf0187
1nUSDLU6P0nU6iqTWKL1RpCnFI0aTIpCCB9gmt3JfXdJPOMdBBaqEXxtS92ns6SZ/otuDZeFVpzq
TqVMsyy0z2TWZTko5Ik2EOigpSEmFFLqLFd/RRMNzzldB+r4qOfxrMEe0TbU93UlvE8ddif2iDXO
IkAKi2j0nCFN5DTB+SDXk1nZKeAEqu4bCDYVYTz4ndLA0DIiS4eO7htLD6OzLNxgsuetY20E1KwY
q4osJclzAHE2yInpkkyBfz+CQjcmg12dEwV3HA3YGjnYU6sAz/4GL5ZtAZKgYQxWrZ7PB0TuUejr
h5rUSm91Eqoz3UwvAnKdkpREFo3g4HCk4ADknTQwXUS6zdUkoyqFetvLKGT147mKuaMclYs8q0oa
AtqySdkVll31MrTxvMrbdKnQfZxrDTbSEh8MgtGyvVDVESKT/mpFmjFFLIBXl5IABPvg3vfzbNG0
CG4jGRerPVwBIkH/wOwQdmKZU9XTrAC3VSTTrE4uYsIzIXWySYho3k8L5ql550cLzQnmqaEc5aVz
Yto+Ms1CMZYqplq+0+w+FWVpKVDodMIwNwP+XkZjUg/HFVUwAT1nVXSyWasXc8fEKetAV3Gd09Hi
CXRIjylb5LdhR2ZMdQOVAd/0UMHaCnJWsQqFHVXU2keUpzbjws8okOj+QDoltpLMXyDsOQn17sKw
4Mnq9CntKl2PBqoVR5EPE7Xt0YP5xIaglvY8C9iOIl8ZwBfGUnrMXfsuH71xbjTxip04LqbxMKl4
9zXhYgQJVc9NQvQ1j6FBPxhVzH0ce9d2ZACnUcFwVFn92DTg6iGnkVVQnXW0NyahYR15IdLxWH2g
6r0w5XKkdiTzDxMwkBVgz28ckD9OcUSi4AnP2UIJ+0tfKp+GIJ0PUnShGlh+8dsvXejQg5YfsaTN
jcALJgHlSlcp1pV43nLGYOJ70rUlwfcpTPuUYkE3TxyiELIOvIpqYi5IUf36BY2mlKdgmJmRTeof
e3qHsn0Rr9S4qehYOldFVZ9JzNxGg9XWoARM0JQDIapYSiiDDolM4v/JLl0zygT0TnNsM/rx4NG/
MSOdcUE+BVH2Uh/8U3z2rMO5wG/BreBkcCFLZTfTm3HZ6uj46ja4szvvGxUm+JwxjTbfJ8ZGwm1q
5AoiYjaCSOTrWr9PXO4jwp0FVAVpVqLfg/oHp6pGz02stZPW7u98eazmnlUvXT1ecrjx1lpSX9NT
fLYG/zEw7et8MB/6pjzlw+FMQiUHQ6pexj2t7l5KbkIiGu0AfFiPbWZADxkG+sCUg9w40d8k9tw8
dEQ71Rc9mYWuSzJfpT3nXXaZOqZ3OGTuSuuj285ob4vYWhcGUiMnlwlm9a05bvSaCDpv7bOlECkO
fKV2NJOpp/hF+hxJ9jUtjBOzGJdj6WOm7YfZaHV8TbRZwqGajdnAfOzNMXLNrKB7NjFnIIAcoRaR
xUjYBamqgfGothW9Qf4NKU+470dY1fiaHuxaI0dCGg9pfuvTqMHnnCX9glg7cV+DP+nzSWczXF2x
HPLmsCS1buJ1LYQSQwCJTyKQdyrKdxhrzqx12gtOjgRJINWPEhMGWs8+KH3xS54cZdTmhkMCAI67
wRW0Bt341lcuphICKiZUOW9ke2wmhWNf+IF3aLYJx5rEAMbS0MrlBrdc9bhNAxxIfn8S+xW6AkhZ
BAdbWMbiYSkRTjHrYb+hjzupAp3kzjZ59qyxwdUXLtSsf2y8/CwwnCfqgJeyl55RiIOUFf0DUvB/
bZHmf770/4uomNlT/TRP66AeLpq3crh8q5q4rr6rbMRP3xNkrrN/7Jd+faF/e3v/y/iu3/73/3hC
jpfOAlomwUv9tYJDqLW1rUx6f1vv7/lXV4mf+GjNK5fXjQOLog/QKct5f3HBOOOm2PxY1Q8UQ0Hc
oymbH5PIgxLq0yj90Tj8+iNuBvTXv/PlA7xkTVqLL8LDqvl5GFQZ0foXcdYfDMHWFb4MgYPyHsWQ
uvmMFL++DoGJKRM2zb94CH5xJ+iKafKu/5Zh2LrKp2HAO6A4Mj6Ej2+ar/rzMGjcKCa5TSKU6V9y
C2y9881DIsLUbRR6ikZNcLfPbx7IOBwsQyeaXby44NfPb5imbpnCrSFemyfv//2T8KthgLe7821g
HKj4WqHlbn3/yoGNWd8EK/ZjePbuNlBIDtv1NtAPHNVEd6mi0vz8/RsHOvUbxVS1zfe/h4+BJixB
u35+g+8ZYjMRbZvPubUgqAd8/zZa1Y35aa/uf1UHCrb75zeFJlfD+vT+2poGrAMs+ib32Wag9+rz
axheNl/Lb7uYP1gNt2aRL8sArDMLnY+5+fx8zs+PAbMkSG1DESTtvXv+TVnfef7TD7DVKdBUrc3n
p0f29fOTN2HauszGQ7z2cRg0Wni7PgZs/GTH1tQ/uA3sAxWwjaN+jPd+PQY0Cf8Jy4AutoOm/rHc
bd0GbJZM6IMA7Pd2NSC7Ut55NjAPFMsQTgMMDO+vr0+DIvaMJp7TPdwN8RTY213xv3s2NA8cPiEb
H2Pz8bdWQ1y6pmPQA9f2dzYQ29ZdZwPjAG2AjBeYg6J4/TQMWIQ5HMi/rZl7tzaQJrvzMLD4MyPi
y/79vRFLBw8D7WBlb+8GlZLBzmuDhmtJhtaqfyyRW1sEg0BezmSGY2+GYfMQ7tUSoZv0oHd/KFSC
RcR2YPM5t4bBYpRYQ36soHs3DLx3pm6sZLsOBJktsghykX87Gn/dMuEuUyBnfkySezcQNsd+Ch+7
DgOTJOuEYuL0e3/xnH0eBhsyMQMuUm/eX3u4ZP6e1/EfWDINVgKhGvsxC34eBlZUBbWYYe7v7AC8
3N4c73c4R3E3UDW1vhcVxY788zCIDaRugdzf3AzOHpYTdKavnR8K60Cmosh9//F1bx2nFaotFF9/
HKf2cG7QbVSHu84NgtlisSpCEv/+8H+9G2zuBcUkCnfzev97e7VkcijW/hkrBSVKW5V/2yF9Hgb1
wDTEdvt7jW0Pp0hNfIe73g3i2ABYBr3H10mB2hu7CaqPH8WFPXwaVD7+zjsn6wAROjc6/KL319Yw
mAeAW9hVEUq1t0+DOPXuehsgugb8JB6IH5/z89MAHIAz1caQv2/HKfokzs6fn94jKy068a21UTmg
kGnp4Bg3t8cePgZs7M1N6W+nLYJtsh583yhtd5wYHn6uccb4cXvs220ArMjYeadEqZHHgHLab7W0
z4+BBdOMYzcz5v4OgzgN7zob0GDSMFio5m+1pM/DYL9vpDT6Upth2Me1kfbLzmujcSCLTrzwnLy/
tuYG7QDCmK2QxrJ/WySdXe7OWySDPZBKCeljo7h9buDHCr05gwHYvPZvGMSUvvNtQKnNVDhHyt/H
4etOSSQAUeVXPzZK+9iG4XynbFauHZYIdkp82aQd/X4bQjsgNkKoVzZbsv06MBiAcXadFM0D7LSm
qmsf5+StwrN+YJgKDHmNWWLf1kaVt7bzFol4ZY16Emfk7fsf8hOVZv7x/trH1QAnxs6LosUeCE7x
H9XU1APOze/Vpr2dDXVGYXN37jANmAdiCIQH8seO+PPegGmAGcKg77m/d8Pv8HL/7tKieNypoNjf
t0hMr5+HgZ2iCccM7c6PUdq3SUEH+/VPWBTQZ8gWIoUfn/PzMDBnsGiSmvfxTOzhTunDfMy3s8ND
IaQ4NPVY/348/J+HQWPDjFyR4+WPH/+td8PfsI7+EANP/SB+fZcBB2/V76mF/+gXvn/2n3/+oXwV
2kbu5B/W6fdfFKrgzd/+TSX871/UPO/q3E8//K7W/fyff3zAn//0776p7/9yGbyVT+WLP7x/3OHj
bZ49JQiJb8un9OXt6bM0l7bKRpD125v5Sc/84w745bX/+7/in6+9KdLvfG08dk2w9bY3K/eul75u
fuddbxpNO186AC3+5613vSnJ7Hzpt/gtK5OnLypr0SF7bxzvevWrhi+y3b5NNjXFna8dPAfN1phs
JPI7X/mpbv7t9Kl8+3p1IDpih7Pz1X9BZ/hjJ8Df9OSsyyc/2x7uD5ngrm/7PK6/f/aNCltg6tmH
7nrds7en5K//+f063y/9ruXZ9dKnTfm2/dgArhDHlJ0v/ea/vQbpX/9zay75aJvsfPmn8ok47J/f
/eaQuevlfxHTu+Md+H+JQdjx6ng2314zxub7F/hxu2yE0LuOyvKp9Pyg/uni7x2gXS9+mJXbRJZN
+WznCwdN6W1PhNqmX7HztZ/ip59ucZq3ovq567VnWbw1IB+2lp0v/N//lTyDB/8pi4Oto/AL7Hr9
KTMsAO3vF9rcgh8Ngt2vnVb1E9PK9uU3Gt+dLx8322O+Oa7ufGGeyb/+Wbp6a9/KYGsroW9sKjv/
CZbNv/xJ/JmtKfejKbHr9SfN+DPXeyOm3P3SLz67iWprAUVCJfTUO19djEnWfr/Qx/24qU3vfu2/
/CmIt2/GjZpu52tndfbXPz+l21/n5si889XfPZQ8SNLZX/5U8c2+bg3QRiC6+5/xs3L7yu9tkZ2v
/AvO/I7L6H+U3k87iw/Zy67v+j/Kp+2B3ujSd75w/Lx9G25cgLteeBV/+/rwfNJJ/vrav3eq/mGW
/fms/d0E+3v/2ddCgviNl/jtqfz3/wMAAP//</cx:binary>
              </cx:geoCache>
            </cx:geography>
          </cx:layoutPr>
          <cx:valueColors>
            <cx:minColor>
              <a:schemeClr val="accent5">
                <a:lumMod val="20000"/>
                <a:lumOff val="80000"/>
              </a:schemeClr>
            </cx:minColor>
            <cx:midColor>
              <a:schemeClr val="accent5">
                <a:lumMod val="60000"/>
                <a:lumOff val="40000"/>
              </a:schemeClr>
            </cx:midColor>
            <cx:maxColor>
              <a:schemeClr val="accent5">
                <a:lumMod val="50000"/>
              </a:schemeClr>
            </cx:maxColor>
          </cx:valueColors>
          <cx:valueColorPositions count="3"/>
        </cx:series>
      </cx:plotAreaRegion>
    </cx:plotArea>
    <cx:legend pos="r" align="min" overlay="0"/>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495299</xdr:colOff>
      <xdr:row>2</xdr:row>
      <xdr:rowOff>95250</xdr:rowOff>
    </xdr:from>
    <xdr:to>
      <xdr:col>15</xdr:col>
      <xdr:colOff>104774</xdr:colOff>
      <xdr:row>29</xdr:row>
      <xdr:rowOff>161925</xdr:rowOff>
    </xdr:to>
    <xdr:graphicFrame macro="">
      <xdr:nvGraphicFramePr>
        <xdr:cNvPr id="2" name="Chart 1">
          <a:extLst>
            <a:ext uri="{FF2B5EF4-FFF2-40B4-BE49-F238E27FC236}">
              <a16:creationId xmlns:a16="http://schemas.microsoft.com/office/drawing/2014/main" id="{1853AC44-942E-4A74-BEB7-D714C1AE5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300037</xdr:colOff>
      <xdr:row>8</xdr:row>
      <xdr:rowOff>52387</xdr:rowOff>
    </xdr:from>
    <xdr:to>
      <xdr:col>8</xdr:col>
      <xdr:colOff>300037</xdr:colOff>
      <xdr:row>22</xdr:row>
      <xdr:rowOff>128587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84ADF18-1E40-48BB-86C2-4843845B2D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24037" y="1576387"/>
              <a:ext cx="4572000" cy="2743200"/>
            </a:xfrm>
            <a:prstGeom prst="rect">
              <a:avLst/>
            </a:prstGeom>
            <a:solidFill>
              <a:prstClr val="white"/>
            </a:solidFill>
            <a:ln w="1">
              <a:solidFill>
                <a:prstClr val="green"/>
              </a:solidFill>
            </a:ln>
          </xdr:spPr>
          <xdr:txBody>
            <a:bodyPr vertOverflow="clip" horzOverflow="clip"/>
            <a:lstStyle/>
            <a:p>
              <a:r>
                <a:rPr lang="ro-RO"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 refreshedDate="46084.634381597221" createdVersion="6" refreshedVersion="6" minRefreshableVersion="3" recordCount="429" xr:uid="{C2508FA1-5CEF-44FA-972C-00453009F32D}">
  <cacheSource type="worksheet">
    <worksheetSource ref="A1:W1048576" sheet="Baza de date BAC"/>
  </cacheSource>
  <cacheFields count="23">
    <cacheField name="Nr. crt" numFmtId="0">
      <sharedItems containsString="0" containsBlank="1" containsNumber="1" containsInteger="1" minValue="1" maxValue="428"/>
    </cacheField>
    <cacheField name="A. În ce an ați susținut Examenul de Bacalaureat/de Maturitate?" numFmtId="0">
      <sharedItems containsString="0" containsBlank="1" containsNumber="1" containsInteger="1" minValue="1957" maxValue="2025"/>
    </cacheField>
    <cacheField name="Promoția" numFmtId="0">
      <sharedItems containsBlank="1" count="4">
        <s v="Bunici și străbunici"/>
        <s v="Părinți"/>
        <s v="Tineri/Studenți"/>
        <m/>
      </sharedItems>
    </cacheField>
    <cacheField name="B. Unde ați susținut examenul de Bacalaureat?" numFmtId="0">
      <sharedItems containsBlank="1" count="44">
        <s v="NEAMT"/>
        <s v="BRAILA"/>
        <s v="IALOMITA"/>
        <s v="VRANCEA"/>
        <s v="VALCEA"/>
        <s v="SALAJ"/>
        <s v="MUNICIPIUL BUCURESTI"/>
        <s v="SIBIU"/>
        <s v="SUCEAVA"/>
        <s v="TULCEA"/>
        <s v="ARGES"/>
        <s v="OLT"/>
        <s v="TIMIS"/>
        <s v="GALATI"/>
        <s v="IASI"/>
        <s v="BRASOV"/>
        <s v="HUNEDOARA"/>
        <s v="CLUJ"/>
        <s v="CONSTANTA"/>
        <s v="ALBA"/>
        <s v="CARAS-SEVERIN"/>
        <s v="PRAHOVA"/>
        <s v="VASLUI"/>
        <s v="ILFOV"/>
        <s v="BACAU"/>
        <s v="TELEORMAN"/>
        <s v="DOLJ"/>
        <s v="BIHOR"/>
        <s v="ARAD"/>
        <s v="GIURGIU"/>
        <s v="BUZAU"/>
        <s v="MEHEDINTI"/>
        <s v="GORJ"/>
        <s v="MARAMURES"/>
        <s v="BOTOSANI"/>
        <s v="HARGHITA"/>
        <s v="SATU MARE"/>
        <s v="BISTRITA-NASAUD"/>
        <s v="DAMBOVITA"/>
        <s v="COVASNA"/>
        <s v="MURES"/>
        <s v="CALARASI"/>
        <s v="Republica Moldova"/>
        <m/>
      </sharedItems>
    </cacheField>
    <cacheField name="Regiunea de dezvoltare" numFmtId="0">
      <sharedItems containsBlank="1"/>
    </cacheField>
    <cacheField name="Q1. Care este genul D-voastră?" numFmtId="0">
      <sharedItems containsBlank="1"/>
    </cacheField>
    <cacheField name="Q2. Profil liceu" numFmtId="0">
      <sharedItems containsBlank="1"/>
    </cacheField>
    <cacheField name="Q3. Liceul la care ați studiat a fost în:  " numFmtId="0">
      <sharedItems containsBlank="1"/>
    </cacheField>
    <cacheField name="Q4. La ce materie ați susținut proba a III-a?" numFmtId="0">
      <sharedItems containsBlank="1"/>
    </cacheField>
    <cacheField name="Q5. Cum ați evalua dificultatea Bacalaureatului în ansamblu? Pe o scală de la 1 la 10:" numFmtId="0">
      <sharedItems containsString="0" containsBlank="1" containsNumber="1" containsInteger="1" minValue="1" maxValue="10"/>
    </cacheField>
    <cacheField name="Q6. Cât timp ați dedicat pregătirii pentru Bacalaureat?2" numFmtId="0">
      <sharedItems containsBlank="1"/>
    </cacheField>
    <cacheField name="Q7. În ce măsură considerați că programa școlară v-a pregătit pentru Bacalaureat?" numFmtId="0">
      <sharedItems containsString="0" containsBlank="1" containsNumber="1" containsInteger="1" minValue="1" maxValue="10"/>
    </cacheField>
    <cacheField name="Q8. În ce măsură considerați că ați beneficiat de sprijinul familiei în pregătirea pentru examenul de Bacalaureat?" numFmtId="0">
      <sharedItems containsString="0" containsBlank="1" containsNumber="1" containsInteger="1" minValue="1" maxValue="10"/>
    </cacheField>
    <cacheField name="Q9. În ce măsură considerați că ați primit sprijin din partea profesorilor pentru pregătirea Bacalaureatului? Pe o scală de la 1 la 10:" numFmtId="0">
      <sharedItems containsString="0" containsBlank="1" containsNumber="1" containsInteger="1" minValue="1" maxValue="10"/>
    </cacheField>
    <cacheField name="Q10. Ați recurs la meditații pentru Bacalaureat?" numFmtId="0">
      <sharedItems containsBlank="1"/>
    </cacheField>
    <cacheField name="Q11. Cât de stresantă a fost perioada  Bacalaureatului? Pe o scală de la 1 la 10:" numFmtId="0">
      <sharedItems containsString="0" containsBlank="1" containsNumber="1" containsInteger="1" minValue="1" maxValue="10"/>
    </cacheField>
    <cacheField name="Q12. Ulterior promovării Bacalaureatului ați urmat:? (variante multiple)" numFmtId="0">
      <sharedItems containsBlank="1"/>
    </cacheField>
    <cacheField name="Q13. Care este domeniul studiilor urmate? (variante multiple)" numFmtId="0">
      <sharedItems containsBlank="1"/>
    </cacheField>
    <cacheField name="Q14 Cât de mult a influențat promovarea examenului de Bacalaureat, atât parcursul dumneavoastră personal, cât și cel profesional?" numFmtId="0">
      <sharedItems containsString="0" containsBlank="1" containsNumber="1" containsInteger="1" minValue="1" maxValue="10"/>
    </cacheField>
    <cacheField name="Q15. Pentru D-voastră, absolvirea Bacalaureatului a reprezentat.... (pot fi selectate mai multe variante)" numFmtId="0">
      <sharedItems containsBlank="1" longText="1"/>
    </cacheField>
    <cacheField name="Q16. Ați absolvit Bacalaureatul cu nota?" numFmtId="0">
      <sharedItems containsBlank="1"/>
    </cacheField>
    <cacheField name="Q17. Cât de mulțumit ați fost de nota obținută la Bacalaureat? Pe o scală de la 1 la 10:" numFmtId="0">
      <sharedItems containsString="0" containsBlank="1" containsNumber="1" containsInteger="1" minValue="1" maxValue="10"/>
    </cacheField>
    <cacheField name="Q18. Cum ați descrie, în linii mari experiența D-voastră legată de pregătirea și susținerea examenului de Bacalaureat/Maturitate?  (răspuns deschi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9">
  <r>
    <n v="1"/>
    <n v="1957"/>
    <x v="0"/>
    <x v="0"/>
    <s v="Regiunea Nord-Est"/>
    <s v="b) Masculin"/>
    <s v="a) filiera teoretică (profilurile umanist şi real)"/>
    <s v="a) mediul urban"/>
    <s v="Psihologie"/>
    <n v="9"/>
    <s v="e) M-am pregătit constant pe tot parcursul liceului"/>
    <n v="9"/>
    <n v="5"/>
    <n v="7"/>
    <s v="d) Nu, m-am pregătit singur(ă)"/>
    <n v="8"/>
    <s v="a) studii superioare, în același an în care am absolvit BAC-ul"/>
    <s v="b) Arte şi ştiinţe umaniste"/>
    <n v="10"/>
    <s v="c) o etapă în care a influențat semnificativ viitoarea mea cariera educațională"/>
    <s v="9,01-9,50"/>
    <n v="9"/>
    <s v="A fost stresant dar am fost foarte motivat. Să dai examen oral la șapte materii e ceva foarte obositor. Într-o zi trei și a doua zi patru discipline cu șapte profesori plus un președinte la catedră..."/>
  </r>
  <r>
    <n v="2"/>
    <n v="1964"/>
    <x v="0"/>
    <x v="1"/>
    <s v="Regiunea Sud-Est"/>
    <s v="b) Masculin"/>
    <s v="c) filiera vocaţională (profilurile militar, teologic, sportiv, artistic şi pedagogic)"/>
    <s v="b) mediul rural"/>
    <s v="Biologie"/>
    <n v="10"/>
    <s v="d) 12- 24 luni"/>
    <n v="1"/>
    <n v="1"/>
    <n v="4"/>
    <s v="d) Nu, m-am pregătit singur(ă)"/>
    <n v="10"/>
    <s v="e) studii superioare, la peste 5 ani de la absolvirea BAC-lui"/>
    <s v="e) Administraţie şi drept"/>
    <n v="1"/>
    <s v="e) o etapa în care a influențat semnificativ dezvoltarea mea personală (în sens pozitiv)"/>
    <s v="9,51-10"/>
    <n v="10"/>
    <s v="Greu. "/>
  </r>
  <r>
    <n v="3"/>
    <n v="1965"/>
    <x v="0"/>
    <x v="2"/>
    <s v="Regiunea Sud-Muntenia"/>
    <s v="a) Feminin"/>
    <s v="a) filiera teoretică (profilurile umanist şi real)"/>
    <s v="a) mediul urban"/>
    <s v="Lb .romana,lb.franceza,biologie, fizica ,istorie. "/>
    <n v="8"/>
    <s v="e) M-am pregătit constant pe tot parcursul liceului"/>
    <n v="10"/>
    <n v="9"/>
    <n v="8"/>
    <s v="d) Nu, m-am pregătit singur(ă)"/>
    <n v="9"/>
    <s v="b) studii superioare, la un an de la absolvire"/>
    <s v="a) Educație"/>
    <n v="9"/>
    <s v="d) o etapa in care a influențat semnificativ viitoarea mea cariera educațională și profesională;, e) o etapa în care a influențat semnificativ dezvoltarea mea personală (în sens pozitiv)"/>
    <s v="6,51-7,00"/>
    <n v="9"/>
    <s v="A fost decisiv  în etapa desavarsirii carierei mele profesionale. "/>
  </r>
  <r>
    <n v="4"/>
    <n v="1965"/>
    <x v="0"/>
    <x v="3"/>
    <s v="Regiunea Sud-Est"/>
    <s v="a) Feminin"/>
    <s v="a) filiera teoretică (profilurile umanist şi real)"/>
    <s v="a) mediul urban"/>
    <s v="la materiile importante"/>
    <n v="5"/>
    <s v="e) M-am pregătit constant pe tot parcursul liceului"/>
    <n v="8"/>
    <n v="9"/>
    <n v="8"/>
    <s v="d) Nu, m-am pregătit singur(ă)"/>
    <n v="8"/>
    <s v="g) Nu am mai urmat alte studii"/>
    <s v="nu am urmat"/>
    <n v="7"/>
    <s v="a) un pas/o etapa normal(ă) în viață, e) o etapa în care a influențat semnificativ dezvoltarea mea personală (în sens pozitiv)"/>
    <s v="7,01-7,50"/>
    <n v="6"/>
    <s v="un pas important in viata"/>
  </r>
  <r>
    <n v="5"/>
    <n v="1965"/>
    <x v="0"/>
    <x v="3"/>
    <s v="Regiunea Sud-Est"/>
    <s v="a) Feminin"/>
    <s v="a) filiera teoretică (profilurile umanist şi real)"/>
    <s v="a) mediul urban"/>
    <s v="fizica,chimie, biologie, istorie"/>
    <n v="7"/>
    <s v="e) M-am pregătit constant pe tot parcursul liceului"/>
    <n v="10"/>
    <n v="10"/>
    <n v="9"/>
    <s v="d) Nu, m-am pregătit singur(ă)"/>
    <n v="9"/>
    <s v="a) studii superioare, în același an în care am absolvit BAC-ul"/>
    <s v="b) Arte şi ştiinţe umaniste"/>
    <n v="10"/>
    <s v="a) un pas/o etapa normal(ă) în viață, b) un eveniment deosebit, o reușită, o sărbătoare, d) o etapa in care a influențat semnificativ viitoarea mea cariera educațională și profesională;, e) o etapa în care a influențat semnificativ dezvoltarea mea personală (în sens pozitiv)"/>
    <s v="7,01-7,50"/>
    <n v="6"/>
    <s v="foarte importanta pentru viitorul profesional"/>
  </r>
  <r>
    <n v="6"/>
    <n v="1965"/>
    <x v="0"/>
    <x v="0"/>
    <s v="Regiunea Nord-Est"/>
    <s v="a) Feminin"/>
    <s v="a) filiera teoretică (profilurile umanist şi real)"/>
    <s v="a) mediul urban"/>
    <s v="Examenul a avut 2 probe scrise și 7 probe orale"/>
    <n v="10"/>
    <s v="e) M-am pregătit constant pe tot parcursul liceului"/>
    <n v="10"/>
    <n v="10"/>
    <n v="9"/>
    <s v="d) Nu, m-am pregătit singur(ă)"/>
    <n v="10"/>
    <s v="a) studii superioare, în același an în care am absolvit BAC-ul"/>
    <s v="b) Arte şi ştiinţe umaniste"/>
    <n v="10"/>
    <s v="d) o etapa in care a influențat semnificativ viitoarea mea cariera educațională și profesională;"/>
    <s v="9,01-9,50"/>
    <n v="8"/>
    <s v="O experiență provocatoare, de autodepășire, de a demonstra că pot."/>
  </r>
  <r>
    <n v="7"/>
    <n v="1965"/>
    <x v="0"/>
    <x v="4"/>
    <s v="Regiunea Sud-Vest Oltenia"/>
    <s v="a) Feminin"/>
    <s v="a) filiera teoretică (profilurile umanist şi real)"/>
    <s v="a) mediul urban"/>
    <s v="Chimie"/>
    <n v="4"/>
    <s v="e) M-am pregătit constant pe tot parcursul liceului"/>
    <n v="10"/>
    <n v="1"/>
    <n v="8"/>
    <s v="d) Nu, m-am pregătit singur(ă)"/>
    <n v="5"/>
    <s v="b) studii superioare, la un an de la absolvire, k) studii de formare continuă a adulților"/>
    <s v="j) Sănătate şi asistenţă socială, Cursuri de statistică sanitara"/>
    <n v="8"/>
    <s v="a) un pas/o etapa normal(ă) în viață, e) o etapa în care a influențat semnificativ dezvoltarea mea personală (în sens pozitiv)"/>
    <s v="7,51-8,00"/>
    <n v="6"/>
    <s v="Un pas important în pregătirea pentru continuarea studiilor."/>
  </r>
  <r>
    <n v="8"/>
    <n v="1966"/>
    <x v="0"/>
    <x v="5"/>
    <s v="Regiunea Nord-Vest"/>
    <s v="a) Feminin"/>
    <s v="a) filiera teoretică (profilurile umanist şi real)"/>
    <s v="a) mediul urban"/>
    <s v="Fizică"/>
    <n v="6"/>
    <s v="e) M-am pregătit constant pe tot parcursul liceului"/>
    <n v="10"/>
    <n v="2"/>
    <n v="10"/>
    <s v="d) Nu, m-am pregătit singur(ă)"/>
    <n v="4"/>
    <s v="c) studii superioare, la 2-3 ani de la absolvire"/>
    <s v="a) Educație"/>
    <n v="10"/>
    <s v="d) o etapa in care a influențat semnificativ viitoarea mea cariera educațională și profesională;"/>
    <s v="7,51-8,00"/>
    <n v="9"/>
    <s v="Un examen normal"/>
  </r>
  <r>
    <n v="9"/>
    <n v="1966"/>
    <x v="0"/>
    <x v="6"/>
    <s v="Regiunea București-Ilfov"/>
    <s v="b) Masculin"/>
    <s v="a) filiera teoretică (profilurile umanist şi real)"/>
    <s v="a) mediul urban"/>
    <s v="Fizică"/>
    <n v="8"/>
    <s v="e) M-am pregătit constant pe tot parcursul liceului"/>
    <n v="10"/>
    <n v="10"/>
    <n v="8"/>
    <s v="d) Nu, m-am pregătit singur(ă)"/>
    <n v="9"/>
    <s v="a) studii superioare, în același an în care am absolvit BAC-ul"/>
    <s v="h) Inginerie, producţie şi construcţii"/>
    <n v="9"/>
    <s v="a) un pas/o etapa normal(ă) în viață"/>
    <s v="7,51-8,00"/>
    <n v="8"/>
    <s v="Perioada intensă de pregătire care a fost din plin valorificată la examenul de admitere la facultate și ulterior acestuia. M-a format ca viitor intelectual."/>
  </r>
  <r>
    <n v="10"/>
    <n v="1967"/>
    <x v="0"/>
    <x v="7"/>
    <s v="Regiunea Centru"/>
    <s v="b) Masculin"/>
    <s v="a) filiera teoretică (profilurile umanist şi real)"/>
    <s v="b) mediul rural"/>
    <s v="Fizică"/>
    <n v="9"/>
    <s v="c) 6- 12 luni"/>
    <n v="9"/>
    <n v="5"/>
    <n v="8"/>
    <s v="d) Nu, m-am pregătit singur(ă)"/>
    <n v="7"/>
    <s v="a) studii superioare, în același an în care am absolvit BAC-ul"/>
    <s v="d) Științe Economice"/>
    <n v="9"/>
    <s v="d) o etapa in care a influențat semnificativ viitoarea mea cariera educațională și profesională;"/>
    <s v="8,51-9,00"/>
    <n v="9"/>
    <s v="BAC-ul, prin notele per care le luai dovedea că ai muncit sau nu în timpul liceului, că ai acumulat cunoștințe care îți foloseau la examenul de admitere la facultate, chiar dacă notele nu-ti foloseau ca acum la intrarea în facultate."/>
  </r>
  <r>
    <n v="11"/>
    <n v="1967"/>
    <x v="0"/>
    <x v="8"/>
    <s v="Regiunea Nord-Est"/>
    <s v="a) Feminin"/>
    <s v="a) filiera teoretică (profilurile umanist şi real)"/>
    <s v="a) mediul urban"/>
    <s v="Nu știu/Nu țin minte"/>
    <n v="9"/>
    <s v="b) 3- 6 luni"/>
    <n v="8"/>
    <n v="10"/>
    <n v="9"/>
    <s v="d) Nu, m-am pregătit singur(ă)"/>
    <n v="7"/>
    <s v="b) studii superioare, la un an de la absolvire"/>
    <s v="a) Educație"/>
    <n v="8"/>
    <s v="a) un pas/o etapa normal(ă) în viață"/>
    <s v="9,51-10"/>
    <n v="10"/>
    <s v="O ușă deschisă spre viață, un pas spre viitoarea profesie."/>
  </r>
  <r>
    <n v="12"/>
    <n v="1967"/>
    <x v="0"/>
    <x v="5"/>
    <s v="Regiunea Nord-Vest"/>
    <s v="a) Feminin"/>
    <s v="a) filiera teoretică (profilurile umanist şi real)"/>
    <s v="a) mediul urban"/>
    <s v="Română matematică "/>
    <n v="2"/>
    <s v="d) 12- 24 luni"/>
    <n v="9"/>
    <n v="1"/>
    <n v="5"/>
    <s v="d) Nu, m-am pregătit singur(ă)"/>
    <n v="5"/>
    <s v="b) studii superioare, la un an de la absolvire"/>
    <s v="a) Educație"/>
    <n v="10"/>
    <s v="e) o etapa în care a influențat semnificativ dezvoltarea mea personală (în sens pozitiv)"/>
    <s v="9,01-9,50"/>
    <n v="2"/>
    <s v="Cine are carte are parte "/>
  </r>
  <r>
    <n v="13"/>
    <n v="1967"/>
    <x v="0"/>
    <x v="9"/>
    <s v="Regiunea Sud-Est"/>
    <s v="b) Masculin"/>
    <s v="b) filiera tehnologică (profilurile tehnic, servicii, economic, resurse naturale şi protecţia mediului)"/>
    <s v="a) mediul urban"/>
    <s v="Chimie"/>
    <n v="7"/>
    <s v="e) M-am pregătit constant pe tot parcursul liceului"/>
    <n v="10"/>
    <n v="10"/>
    <n v="10"/>
    <s v="a) Da, la una dintre materii"/>
    <n v="10"/>
    <s v="e) studii superioare, la peste 5 ani de la absolvirea BAC-lui"/>
    <s v="f) Ştiinţele naturii, matematică şi statistică"/>
    <n v="7"/>
    <s v="a) un pas/o etapa normal(ă) în viață, d) o etapa in care a influențat semnificativ viitoarea mea cariera educațională și profesională;"/>
    <s v="8,51-9,00"/>
    <n v="8"/>
    <s v="Multă muncă, în paralel cu pregătirea pentru facultate"/>
  </r>
  <r>
    <n v="14"/>
    <n v="1968"/>
    <x v="0"/>
    <x v="1"/>
    <s v="Regiunea Sud-Est"/>
    <s v="a) Feminin"/>
    <s v="c) filiera vocaţională (profilurile militar, teologic, sportiv, artistic şi pedagogic)"/>
    <s v="a) mediul urban"/>
    <s v="Chimie"/>
    <n v="1"/>
    <s v="d) 12- 24 luni"/>
    <n v="8"/>
    <n v="10"/>
    <n v="8"/>
    <s v="b) Da, la mai multe materii"/>
    <n v="10"/>
    <s v="a) studii superioare, în același an în care am absolvit BAC-ul"/>
    <s v="g) Tehnologia informaţiei şi a comunicaţiilor, h) Inginerie, producţie şi construcţii"/>
    <n v="1"/>
    <s v="a) un pas/o etapa normal(ă) în viață"/>
    <s v="8,51-9,00"/>
    <n v="10"/>
    <s v="-----------"/>
  </r>
  <r>
    <n v="15"/>
    <n v="1969"/>
    <x v="0"/>
    <x v="5"/>
    <s v="Regiunea Nord-Vest"/>
    <s v="a) Feminin"/>
    <s v="a) filiera teoretică (profilurile umanist şi real)"/>
    <s v="b) mediul rural"/>
    <s v="Filosofie"/>
    <n v="10"/>
    <s v="d) 12- 24 luni"/>
    <n v="8"/>
    <n v="5"/>
    <n v="8"/>
    <s v="d) Nu, m-am pregătit singur(ă)"/>
    <n v="9"/>
    <s v="g) Nu am mai urmat alte studii"/>
    <s v="nu am mai urmat alte studii"/>
    <n v="9"/>
    <s v="b) un eveniment deosebit, o reușită, o sărbătoare, d) o etapa in care a influențat semnificativ viitoarea mea cariera educațională și profesională;"/>
    <s v="7,51-8,00"/>
    <n v="8"/>
    <s v="un examen dificil "/>
  </r>
  <r>
    <n v="16"/>
    <n v="1969"/>
    <x v="0"/>
    <x v="8"/>
    <s v="Regiunea Nord-Est"/>
    <s v="b) Masculin"/>
    <s v="a) filiera teoretică (profilurile umanist şi real)"/>
    <s v="a) mediul urban"/>
    <s v="Chimie"/>
    <n v="9"/>
    <s v="c) 6- 12 luni"/>
    <n v="9"/>
    <n v="8"/>
    <n v="9"/>
    <s v="d) Nu, m-am pregătit singur(ă)"/>
    <n v="9"/>
    <s v="a) studii superioare, în același an în care am absolvit BAC-ul"/>
    <s v="j) Sănătate şi asistenţă socială"/>
    <n v="10"/>
    <s v="d) o etapa in care a influențat semnificativ viitoarea mea cariera educațională și profesională;, e) o etapa în care a influențat semnificativ dezvoltarea mea personală (în sens pozitiv)"/>
    <s v="7,51-8,00"/>
    <n v="8"/>
    <s v="Atunci am realizat pozitia in viata, cum sa procedez cât si ce am de facut sa realizez ceea ce doresc! "/>
  </r>
  <r>
    <n v="17"/>
    <n v="1970"/>
    <x v="0"/>
    <x v="10"/>
    <s v="Regiunea Sud-Muntenia"/>
    <s v="a) Feminin"/>
    <s v="a) filiera teoretică (profilurile umanist şi real)"/>
    <s v="a) mediul urban"/>
    <s v="Chimie"/>
    <n v="10"/>
    <s v="e) M-am pregătit constant pe tot parcursul liceului"/>
    <n v="10"/>
    <n v="10"/>
    <n v="10"/>
    <s v="d) Nu, m-am pregătit singur(ă)"/>
    <n v="8"/>
    <s v="a) studii superioare, în același an în care am absolvit BAC-ul"/>
    <s v="f) Ştiinţele naturii, matematică şi statistică"/>
    <n v="10"/>
    <s v="a) un pas/o etapa normal(ă) în viață"/>
    <s v="9,51-10"/>
    <n v="9"/>
    <s v="A fost o necesitate pentru parcursul formarii profesionale"/>
  </r>
  <r>
    <n v="18"/>
    <n v="1971"/>
    <x v="0"/>
    <x v="7"/>
    <s v="Regiunea Centru"/>
    <s v="b) Masculin"/>
    <s v="a) filiera teoretică (profilurile umanist şi real)"/>
    <s v="a) mediul urban"/>
    <s v="Nu a fost cazul"/>
    <n v="9"/>
    <s v="e) M-am pregătit constant pe tot parcursul liceului"/>
    <n v="9"/>
    <n v="4"/>
    <n v="9"/>
    <s v="d) Nu, m-am pregătit singur(ă)"/>
    <n v="2"/>
    <s v="a) studii superioare, în același an în care am absolvit BAC-ul"/>
    <s v="a) Educație"/>
    <n v="10"/>
    <s v="a) un pas/o etapa normal(ă) în viață"/>
    <s v="8,51-9,00"/>
    <n v="10"/>
    <s v="Mi- a placut"/>
  </r>
  <r>
    <n v="19"/>
    <n v="1972"/>
    <x v="0"/>
    <x v="11"/>
    <s v="Regiunea Sud-Vest Oltenia"/>
    <s v="a) Feminin"/>
    <s v="a) filiera teoretică (profilurile umanist şi real)"/>
    <s v="a) mediul urban"/>
    <s v="Biologie"/>
    <n v="1"/>
    <s v="e) M-am pregătit constant pe tot parcursul liceului"/>
    <n v="9"/>
    <n v="10"/>
    <n v="10"/>
    <s v="d) Nu, m-am pregătit singur(ă)"/>
    <n v="1"/>
    <s v="b) studii superioare, la un an de la absolvire"/>
    <s v="Limbi moderne: engleza-franceza"/>
    <n v="9"/>
    <s v="d) o etapa in care a influențat semnificativ viitoarea mea cariera educațională și profesională;"/>
    <s v="9,01-9,50"/>
    <n v="9"/>
    <s v="Pregatire constanta, responsabila"/>
  </r>
  <r>
    <n v="20"/>
    <n v="1972"/>
    <x v="0"/>
    <x v="12"/>
    <s v="Regiunea Vest"/>
    <s v="a) Feminin"/>
    <s v="a) filiera teoretică (profilurile umanist şi real)"/>
    <s v="a) mediul urban"/>
    <s v="Biologie"/>
    <n v="5"/>
    <s v="e) M-am pregătit constant pe tot parcursul liceului"/>
    <n v="10"/>
    <n v="8"/>
    <n v="10"/>
    <s v="d) Nu, m-am pregătit singur(ă)"/>
    <n v="7"/>
    <s v="b) studii superioare, la un an de la absolvire"/>
    <s v="a) Educație"/>
    <n v="8"/>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8,51-9,00"/>
    <n v="9"/>
    <s v="Necesara si incurajatioare. O experienta utila."/>
  </r>
  <r>
    <n v="21"/>
    <n v="1972"/>
    <x v="0"/>
    <x v="5"/>
    <s v="Regiunea Nord-Vest"/>
    <s v="b) Masculin"/>
    <s v="a) filiera teoretică (profilurile umanist şi real)"/>
    <s v="a) mediul urban"/>
    <s v="Nu știu/Nu țin minte"/>
    <n v="7"/>
    <s v="e) M-am pregătit constant pe tot parcursul liceului"/>
    <n v="8"/>
    <n v="5"/>
    <n v="8"/>
    <s v="d) Nu, m-am pregătit singur(ă)"/>
    <n v="8"/>
    <s v="f) studii postliceale / învățământ profesional terțiar"/>
    <s v="j) Sănătate şi asistenţă socială"/>
    <n v="8"/>
    <s v="a) un pas/o etapa normal(ă) în viață"/>
    <s v="7,51-8,00"/>
    <n v="8"/>
    <s v="efort sustinut"/>
  </r>
  <r>
    <n v="22"/>
    <n v="1972"/>
    <x v="0"/>
    <x v="6"/>
    <s v="Regiunea București-Ilfov"/>
    <s v="a) Feminin"/>
    <s v="a) filiera teoretică (profilurile umanist şi real)"/>
    <s v="a) mediul urban"/>
    <s v="Biologie"/>
    <n v="8"/>
    <s v="e) M-am pregătit constant pe tot parcursul liceului"/>
    <n v="10"/>
    <n v="6"/>
    <n v="9"/>
    <s v="a) Da, la una dintre materii"/>
    <n v="7"/>
    <s v="a) studii superioare, în același an în care am absolvit BAC-ul"/>
    <s v="f) Ştiinţele naturii, matematică şi statistică"/>
    <n v="10"/>
    <s v="d) o etapa in care a influențat semnificativ viitoarea mea cariera educațională și profesională;"/>
    <s v="9,51-10"/>
    <n v="10"/>
    <s v="Pregătirea examenului a fost continuă pe tot parcursul liceului . În consecință efortul nu a fost prea mare. Emoții au fost, e normal. "/>
  </r>
  <r>
    <n v="23"/>
    <n v="1973"/>
    <x v="0"/>
    <x v="6"/>
    <s v="Regiunea București-Ilfov"/>
    <s v="a) Feminin"/>
    <s v="a) filiera teoretică (profilurile umanist şi real)"/>
    <s v="a) mediul urban"/>
    <s v="Biologie"/>
    <n v="6"/>
    <s v="e) M-am pregătit constant pe tot parcursul liceului"/>
    <n v="10"/>
    <n v="10"/>
    <n v="9"/>
    <s v="d) Nu, m-am pregătit singur(ă)"/>
    <n v="5"/>
    <s v="a) studii superioare, în același an în care am absolvit BAC-ul"/>
    <s v="b) Arte şi ştiinţe umaniste"/>
    <n v="10"/>
    <s v="a) un pas/o etapa normal(ă) în viață, atentie la exprimare: o etapa In(?) care = o etapa care "/>
    <s v="8,51-9,00"/>
    <n v="9"/>
    <s v="Fireasca. Cei care urmau scoli de meserii nu sustineau bacalaureatul. Daca cei care urmau un liceu nu-si luau bacalaureatul, nu se puteau inscrie nici macar la studii postliceale. A nu promova bacalaureatul echivala cu a fi pierdut patru ani. Pentru cei care nu luau bacalareatul in vara, exista si posibilitatea sustinerii in toamna. De regula situatia era valabila pentru seralisti (oameni care erau absolventi de scoli profesionale, lucrau si isi completau studiile cu cele liceale pentru a putea promova profesional). Din cate-mi amintesc, nu exista situatia de a amana cu un an sustinerea bacalaureatului. Daca nu luai &quot;bacul&quot; si erai baiat, erai incorporat penntru 3 ani (aveai bacalaureat si nu  intrai la facultate, faceai armata un an si patru luni). Daca erai fata, te maritau parintii ca sa ai o ocupatie."/>
  </r>
  <r>
    <n v="24"/>
    <n v="1973"/>
    <x v="0"/>
    <x v="13"/>
    <s v="Regiunea Sud-Est"/>
    <s v="a) Feminin"/>
    <s v="c) filiera vocaţională (profilurile militar, teologic, sportiv, artistic şi pedagogic)"/>
    <s v="a) mediul urban"/>
    <s v="Psihologie"/>
    <n v="9"/>
    <s v="e) M-am pregătit constant pe tot parcursul liceului"/>
    <n v="10"/>
    <n v="6"/>
    <n v="10"/>
    <s v="d) Nu, m-am pregătit singur(ă)"/>
    <n v="10"/>
    <s v="g) Nu am mai urmat alte studii"/>
    <s v="a) Educație"/>
    <n v="1"/>
    <s v="a) un pas/o etapa normal(ă) în viață"/>
    <s v="8,51-9,00"/>
    <n v="10"/>
    <s v="O necesitate pentru realizarea parcursului profesional."/>
  </r>
  <r>
    <n v="25"/>
    <n v="1974"/>
    <x v="0"/>
    <x v="8"/>
    <s v="Regiunea Nord-Est"/>
    <s v="b) Masculin"/>
    <s v="a) filiera teoretică (profilurile umanist şi real)"/>
    <s v="a) mediul urban"/>
    <s v="Fizică"/>
    <n v="8"/>
    <s v="e) M-am pregătit constant pe tot parcursul liceului"/>
    <n v="8"/>
    <n v="5"/>
    <n v="3"/>
    <s v="d) Nu, m-am pregătit singur(ă)"/>
    <n v="8"/>
    <s v="a) studii superioare, în același an în care am absolvit BAC-ul"/>
    <s v="h) Inginerie, producţie şi construcţii"/>
    <n v="9"/>
    <s v="a) un pas/o etapa normal(ă) în viață"/>
    <s v="9,01-9,50"/>
    <n v="9"/>
    <s v="Un examen serios, aproape toti colegii erau interesati de el, o atmosfera de implicare si maturitate. "/>
  </r>
  <r>
    <n v="26"/>
    <n v="1974"/>
    <x v="0"/>
    <x v="14"/>
    <s v="Regiunea Nord-Est"/>
    <s v="a) Feminin"/>
    <s v="a) filiera teoretică (profilurile umanist şi real)"/>
    <s v="a) mediul urban"/>
    <s v="Fizică"/>
    <n v="9"/>
    <s v="e) M-am pregătit constant pe tot parcursul liceului"/>
    <n v="10"/>
    <n v="9"/>
    <n v="9"/>
    <s v="a) Da, la una dintre materii"/>
    <n v="5"/>
    <s v="a) studii superioare, în același an în care am absolvit BAC-ul"/>
    <s v="f) Ştiinţele naturii, matematică şi statistică"/>
    <n v="10"/>
    <s v="d) o etapa in care a influențat semnificativ viitoarea mea cariera educațională și profesională;"/>
    <s v="8,51-9,00"/>
    <n v="9"/>
    <s v="Multă muncă în fiecare zi, în fiecare an de liceu, 6 - 8 ore pe zi."/>
  </r>
  <r>
    <n v="27"/>
    <n v="1974"/>
    <x v="0"/>
    <x v="15"/>
    <s v="Regiunea Centru"/>
    <s v="a) Feminin"/>
    <s v="a) filiera teoretică (profilurile umanist şi real)"/>
    <s v="a) mediul urban"/>
    <s v="Chimie"/>
    <n v="8"/>
    <s v="e) M-am pregătit constant pe tot parcursul liceului"/>
    <n v="10"/>
    <n v="8"/>
    <n v="10"/>
    <s v="d) Nu, m-am pregătit singur(ă)"/>
    <n v="4"/>
    <s v="b) studii superioare, la un an de la absolvire"/>
    <s v="f) Ştiinţele naturii, matematică şi statistică"/>
    <n v="10"/>
    <s v="d) o etapa in care a influențat semnificativ viitoarea mea cariera educațională și profesională;"/>
    <s v="9,01-9,50"/>
    <n v="10"/>
    <s v="A fost finalizarea normala a studiilor liceale"/>
  </r>
  <r>
    <n v="28"/>
    <n v="1974"/>
    <x v="0"/>
    <x v="16"/>
    <s v="Regiunea Vest"/>
    <s v="a) Feminin"/>
    <s v="c) filiera vocaţională (profilurile militar, teologic, sportiv, artistic şi pedagogic)"/>
    <s v="a) mediul urban"/>
    <s v="Psihologie"/>
    <n v="8"/>
    <s v="e) M-am pregătit constant pe tot parcursul liceului"/>
    <n v="8"/>
    <n v="7"/>
    <n v="7"/>
    <s v="d) Nu, m-am pregătit singur(ă)"/>
    <n v="10"/>
    <s v="g) Nu am mai urmat alte studii"/>
    <s v="a) Educație"/>
    <n v="10"/>
    <s v="e) o etapa în care a influențat semnificativ dezvoltarea mea personală (în sens pozitiv)"/>
    <s v="8,01-8,50"/>
    <n v="8"/>
    <s v="Examenul ,,maturității,, ! În adevăratul sens. "/>
  </r>
  <r>
    <n v="29"/>
    <n v="1975"/>
    <x v="0"/>
    <x v="17"/>
    <s v="Regiunea Nord-Vest"/>
    <s v="a) Feminin"/>
    <s v="a) filiera teoretică (profilurile umanist şi real)"/>
    <s v="a) mediul urban"/>
    <s v="Fizică"/>
    <n v="8"/>
    <s v="e) M-am pregătit constant pe tot parcursul liceului"/>
    <n v="10"/>
    <n v="7"/>
    <n v="10"/>
    <s v="d) Nu, m-am pregătit singur(ă)"/>
    <n v="8"/>
    <s v="a) studii superioare, în același an în care am absolvit BAC-ul"/>
    <s v="Matematica, sectia Informatica"/>
    <n v="10"/>
    <s v="a) un pas/o etapa normal(ă) în viață"/>
    <s v="9,51-10"/>
    <n v="10"/>
    <s v="Pregatirea a avut un caracter continuu, iar examenul a fost bine organizat, fara surprize"/>
  </r>
  <r>
    <n v="30"/>
    <n v="1975"/>
    <x v="0"/>
    <x v="10"/>
    <s v="Regiunea Sud-Muntenia"/>
    <s v="a) Feminin"/>
    <s v="a) filiera teoretică (profilurile umanist şi real)"/>
    <s v="b) mediul rural"/>
    <s v="Biologie"/>
    <n v="9"/>
    <s v="e) M-am pregătit constant pe tot parcursul liceului"/>
    <n v="9"/>
    <n v="9"/>
    <n v="8"/>
    <s v="d) Nu, m-am pregătit singur(ă)"/>
    <n v="8"/>
    <s v="a) studii superioare, în același an în care am absolvit BAC-ul"/>
    <s v="d) Științe Economice, e) Administraţie şi drept"/>
    <n v="10"/>
    <s v="a) un pas/o etapa normal(ă) în viață, b) un eveniment deosebit, o reușită, o sărbătoare"/>
    <s v="9,51-10"/>
    <n v="9"/>
    <s v="Seriozitate, bucuria recunoașterii nivelului intelectual, incredere în viitor"/>
  </r>
  <r>
    <n v="31"/>
    <n v="1975"/>
    <x v="0"/>
    <x v="18"/>
    <s v="Regiunea Sud-Est"/>
    <s v="b) Masculin"/>
    <s v="a) filiera teoretică (profilurile umanist şi real)"/>
    <s v="a) mediul urban"/>
    <s v="Fizică"/>
    <n v="2"/>
    <s v="e) M-am pregătit constant pe tot parcursul liceului"/>
    <n v="10"/>
    <n v="10"/>
    <n v="10"/>
    <s v="d) Nu, m-am pregătit singur(ă)"/>
    <n v="2"/>
    <s v="a) studii superioare, în același an în care am absolvit BAC-ul"/>
    <s v="h) Inginerie, producţie şi construcţii"/>
    <n v="10"/>
    <s v="a) un pas/o etapa normal(ă) în viață"/>
    <s v="9,51-10"/>
    <n v="10"/>
    <s v="Am fost elev la cel mai bun liceu din Constanta,in clasa speciala de matematica,nu am avut nevoie de nicio meditatie deoarece am facut parte dintr-un colectiv excrptional ca performanta academica"/>
  </r>
  <r>
    <n v="32"/>
    <n v="1975"/>
    <x v="0"/>
    <x v="18"/>
    <s v="Regiunea Sud-Est"/>
    <s v="b) Masculin"/>
    <s v="a) filiera teoretică (profilurile umanist şi real)"/>
    <s v="a) mediul urban"/>
    <s v="Fizică"/>
    <n v="2"/>
    <s v="a) sub 3 luni"/>
    <n v="5"/>
    <n v="10"/>
    <n v="8"/>
    <s v="a) Da, la una dintre materii"/>
    <n v="4"/>
    <s v="a) studii superioare, în același an în care am absolvit BAC-ul"/>
    <s v="h) Inginerie, producţie şi construcţii"/>
    <n v="9"/>
    <s v="a) un pas/o etapa normal(ă) în viață"/>
    <s v="9,01-9,50"/>
    <n v="9"/>
    <s v="Continuitate "/>
  </r>
  <r>
    <n v="33"/>
    <n v="1975"/>
    <x v="0"/>
    <x v="18"/>
    <s v="Regiunea Sud-Est"/>
    <s v="b) Masculin"/>
    <s v="a) filiera teoretică (profilurile umanist şi real)"/>
    <s v="a) mediul urban"/>
    <s v="Biologie"/>
    <n v="8"/>
    <s v="e) M-am pregătit constant pe tot parcursul liceului"/>
    <n v="8"/>
    <n v="9"/>
    <n v="9"/>
    <s v="d) Nu, m-am pregătit singur(ă)"/>
    <n v="5"/>
    <s v="f) studii postliceale / învățământ profesional terțiar"/>
    <s v="h) Inginerie, producţie şi construcţii"/>
    <n v="8"/>
    <s v="c) o etapă în care a influențat semnificativ viitoarea mea cariera educațională"/>
    <s v="9,01-9,50"/>
    <n v="9"/>
    <s v="Muncă, Muncă..."/>
  </r>
  <r>
    <n v="34"/>
    <n v="1975"/>
    <x v="0"/>
    <x v="18"/>
    <s v="Regiunea Sud-Est"/>
    <s v="b) Masculin"/>
    <s v="a) filiera teoretică (profilurile umanist şi real)"/>
    <s v="a) mediul urban"/>
    <s v="Limba  Latină "/>
    <n v="7"/>
    <s v="b) 3- 6 luni"/>
    <n v="8"/>
    <n v="10"/>
    <n v="3"/>
    <s v="d) Nu, m-am pregătit singur(ă)"/>
    <n v="8"/>
    <s v="b) studii superioare, la un an de la absolvire"/>
    <s v="i) Agricultură, silvicultură, piscicultură şi ştiinţe veterinare"/>
    <n v="3"/>
    <s v="b) un eveniment deosebit, o reușită, o sărbătoare"/>
    <s v="8,01-8,50"/>
    <n v="7"/>
    <s v="Corespunzatoare anului 1975"/>
  </r>
  <r>
    <n v="35"/>
    <n v="1975"/>
    <x v="0"/>
    <x v="6"/>
    <s v="Regiunea București-Ilfov"/>
    <s v="a) Feminin"/>
    <s v="a) filiera teoretică (profilurile umanist şi real)"/>
    <s v="a) mediul urban"/>
    <s v="Nu a fost cazul"/>
    <n v="8"/>
    <s v="e) M-am pregătit constant pe tot parcursul liceului"/>
    <n v="9"/>
    <n v="10"/>
    <n v="9"/>
    <s v="d) Nu, m-am pregătit singur(ă)"/>
    <n v="7"/>
    <s v="c) studii superioare, la 2-3 ani de la absolvire"/>
    <s v="j) Sănătate şi asistenţă socială"/>
    <n v="10"/>
    <s v="a) un pas/o etapa normal(ă) în viață"/>
    <s v="9,01-9,50"/>
    <n v="8"/>
    <s v="O etapă din viața de elev pe care am tratat-o cu seriozitate,responsabilitate"/>
  </r>
  <r>
    <n v="36"/>
    <n v="1975"/>
    <x v="0"/>
    <x v="19"/>
    <s v="Regiunea Centru"/>
    <s v="b) Masculin"/>
    <s v="a) filiera teoretică (profilurile umanist şi real)"/>
    <s v="a) mediul urban"/>
    <s v="Fizică"/>
    <n v="5"/>
    <s v="e) M-am pregătit constant pe tot parcursul liceului"/>
    <n v="9"/>
    <n v="9"/>
    <n v="10"/>
    <s v="d) Nu, m-am pregătit singur(ă)"/>
    <n v="5"/>
    <s v="a) studii superioare, în același an în care am absolvit BAC-ul"/>
    <s v="h) Inginerie, producţie şi construcţii"/>
    <n v="10"/>
    <s v="a) un pas/o etapa normal(ă) în viață"/>
    <s v="8,51-9,00"/>
    <n v="9"/>
    <s v="Muncă constantă și seriozitate. "/>
  </r>
  <r>
    <n v="37"/>
    <n v="1975"/>
    <x v="0"/>
    <x v="20"/>
    <s v="Regiunea Vest"/>
    <s v="b) Masculin"/>
    <s v="a) filiera teoretică (profilurile umanist şi real)"/>
    <s v="a) mediul urban"/>
    <s v="Fizică"/>
    <n v="5"/>
    <s v="e) M-am pregătit constant pe tot parcursul liceului"/>
    <n v="7"/>
    <n v="7"/>
    <n v="6"/>
    <s v="d) Nu, m-am pregătit singur(ă)"/>
    <n v="4"/>
    <s v="a) studii superioare, în același an în care am absolvit BAC-ul"/>
    <s v="f) Ştiinţele naturii, matematică şi statistică"/>
    <n v="5"/>
    <s v="a) un pas/o etapa normal(ă) în viață"/>
    <s v="9,01-9,50"/>
    <n v="7"/>
    <s v="Pasul firesc dupa absolvirea liceului"/>
  </r>
  <r>
    <n v="38"/>
    <n v="1975"/>
    <x v="0"/>
    <x v="1"/>
    <s v="Regiunea Sud-Est"/>
    <s v="b) Masculin"/>
    <s v="a) filiera teoretică (profilurile umanist şi real)"/>
    <s v="a) mediul urban"/>
    <s v="Biologie"/>
    <n v="10"/>
    <s v="e) M-am pregătit constant pe tot parcursul liceului"/>
    <n v="10"/>
    <n v="10"/>
    <n v="10"/>
    <s v="d) Nu, m-am pregătit singur(ă)"/>
    <n v="10"/>
    <s v="a) studii superioare, în același an în care am absolvit BAC-ul"/>
    <s v="a) Educație"/>
    <n v="10"/>
    <s v="d) o etapa in care a influențat semnificativ viitoarea mea cariera educațională și profesională;"/>
    <s v="8,01-8,50"/>
    <n v="10"/>
    <s v="Serizitate, perseverență, documentare, studiu asiduu, autoevaluare permanentă, etc."/>
  </r>
  <r>
    <n v="39"/>
    <n v="1975"/>
    <x v="0"/>
    <x v="16"/>
    <s v="Regiunea Vest"/>
    <s v="b) Masculin"/>
    <s v="d) Licee industriale"/>
    <s v="a) mediul urban"/>
    <s v="Nu a fost cazul"/>
    <n v="9"/>
    <s v="e) M-am pregătit constant pe tot parcursul liceului"/>
    <n v="9"/>
    <n v="7"/>
    <n v="8"/>
    <s v="d) Nu, m-am pregătit singur(ă)"/>
    <n v="9"/>
    <s v="a) studii superioare, în același an în care am absolvit BAC-ul"/>
    <s v="Domeniul militar"/>
    <n v="8"/>
    <s v="b) un eveniment deosebit, o reușită, o sărbătoare"/>
    <s v="9,01-9,50"/>
    <n v="9"/>
    <s v="A fost un real examen de maturitate."/>
  </r>
  <r>
    <n v="40"/>
    <n v="1976"/>
    <x v="0"/>
    <x v="8"/>
    <s v="Regiunea Nord-Est"/>
    <s v="b) Masculin"/>
    <s v="a) filiera teoretică (profilurile umanist şi real)"/>
    <s v="a) mediul urban"/>
    <s v="istorie"/>
    <n v="8"/>
    <s v="c) 6- 12 luni"/>
    <n v="7"/>
    <n v="5"/>
    <n v="2"/>
    <s v="d) Nu, m-am pregătit singur(ă)"/>
    <n v="6"/>
    <s v="e) studii superioare, la peste 5 ani de la absolvirea BAC-lui, f) studii postliceale / învățământ profesional terțiar"/>
    <s v="e) Administraţie şi drept"/>
    <n v="9"/>
    <s v="a) un pas/o etapa normal(ă) în viață"/>
    <s v="6,51-7,00"/>
    <n v="6"/>
    <s v="Bună și normală"/>
  </r>
  <r>
    <n v="41"/>
    <n v="1976"/>
    <x v="0"/>
    <x v="21"/>
    <s v="Regiunea Sud-Muntenia"/>
    <s v="a) Feminin"/>
    <s v="a) filiera teoretică (profilurile umanist şi real)"/>
    <s v="a) mediul urban"/>
    <s v="Nu a fost cazul"/>
    <n v="8"/>
    <s v="e) M-am pregătit constant pe tot parcursul liceului"/>
    <n v="9"/>
    <n v="10"/>
    <n v="10"/>
    <s v="a) Da, la una dintre materii"/>
    <n v="9"/>
    <s v="a) studii superioare, în același an în care am absolvit BAC-ul"/>
    <s v="b) Arte şi ştiinţe umaniste"/>
    <n v="10"/>
    <s v="a) un pas/o etapa normal(ă) în viață"/>
    <s v="9,01-9,50"/>
    <n v="9"/>
    <s v="Constientizare si responsabilizare"/>
  </r>
  <r>
    <n v="42"/>
    <n v="1976"/>
    <x v="0"/>
    <x v="22"/>
    <s v="Regiunea Nord-Est"/>
    <s v="a) Feminin"/>
    <s v="a) filiera teoretică (profilurile umanist şi real)"/>
    <s v="a) mediul urban"/>
    <s v="Fizică"/>
    <n v="7"/>
    <s v="e) M-am pregătit constant pe tot parcursul liceului"/>
    <n v="9"/>
    <n v="1"/>
    <n v="8"/>
    <s v="d) Nu, m-am pregătit singur(ă)"/>
    <n v="7"/>
    <s v="a) studii superioare, în același an în care am absolvit BAC-ul"/>
    <s v="h) Inginerie, producţie şi construcţii"/>
    <n v="9"/>
    <s v="a) un pas/o etapa normal(ă) în viață"/>
    <s v="9,01-9,50"/>
    <n v="9"/>
    <s v="M-am pregatit permanent in decursul celor 4 ani de studiu,iar bacalaureatul a fost un examen normal la sfarsitul cursurilor liceale"/>
  </r>
  <r>
    <n v="43"/>
    <n v="1976"/>
    <x v="0"/>
    <x v="23"/>
    <s v="Regiunea București-Ilfov"/>
    <s v="b) Masculin"/>
    <s v="a) filiera teoretică (profilurile umanist şi real)"/>
    <s v="a) mediul urban"/>
    <s v="Geografie"/>
    <n v="3"/>
    <s v="a) sub 3 luni"/>
    <n v="8"/>
    <n v="8"/>
    <n v="3"/>
    <s v="d) Nu, m-am pregătit singur(ă)"/>
    <n v="2"/>
    <s v="f) studii postliceale / învățământ profesional terțiar"/>
    <s v="j) Sănătate şi asistenţă socială"/>
    <n v="2"/>
    <s v="a) un pas/o etapa normal(ă) în viață"/>
    <s v="8,01-8,50"/>
    <n v="7"/>
    <s v="Decepționant"/>
  </r>
  <r>
    <n v="44"/>
    <n v="1976"/>
    <x v="0"/>
    <x v="6"/>
    <s v="Regiunea București-Ilfov"/>
    <s v="a) Feminin"/>
    <s v="b) filiera tehnologică (profilurile tehnic, servicii, economic, resurse naturale şi protecţia mediului)"/>
    <s v="a) mediul urban"/>
    <s v="tehnologia legume-fructe"/>
    <n v="5"/>
    <s v="b) 3- 6 luni"/>
    <n v="10"/>
    <n v="6"/>
    <n v="7"/>
    <s v="d) Nu, m-am pregătit singur(ă)"/>
    <n v="8"/>
    <s v="k) studii de formare continuă a adulților"/>
    <s v="g) Tehnologia informaţiei şi a comunicaţiilor"/>
    <n v="8"/>
    <s v="a) un pas/o etapa normal(ă) în viață"/>
    <s v="8,01-8,50"/>
    <n v="8"/>
    <s v="un pas normal"/>
  </r>
  <r>
    <n v="45"/>
    <n v="1976"/>
    <x v="0"/>
    <x v="24"/>
    <s v="Regiunea Nord-Est"/>
    <s v="a) Feminin"/>
    <s v="a) filiera teoretică (profilurile umanist şi real)"/>
    <s v="a) mediul urban"/>
    <s v="Biologie"/>
    <n v="5"/>
    <s v="e) M-am pregătit constant pe tot parcursul liceului"/>
    <n v="8"/>
    <n v="1"/>
    <n v="5"/>
    <s v="d) Nu, m-am pregătit singur(ă)"/>
    <n v="5"/>
    <s v="a) studii superioare, în același an în care am absolvit BAC-ul"/>
    <s v="h) Inginerie, producţie şi construcţii"/>
    <n v="9"/>
    <s v="d) o etapa in care a influențat semnificativ viitoarea mea cariera educațională și profesională;"/>
    <s v="8,01-8,50"/>
    <n v="8"/>
    <s v="IN LIMITELE NORMALITATII"/>
  </r>
  <r>
    <n v="46"/>
    <n v="1976"/>
    <x v="0"/>
    <x v="11"/>
    <s v="Regiunea Sud-Vest Oltenia"/>
    <s v="a) Feminin"/>
    <s v="a) filiera teoretică (profilurile umanist şi real)"/>
    <s v="a) mediul urban"/>
    <s v="Biologie"/>
    <n v="9"/>
    <s v="e) M-am pregătit constant pe tot parcursul liceului"/>
    <n v="9"/>
    <n v="10"/>
    <n v="9"/>
    <s v="d) Nu, m-am pregătit singur(ă)"/>
    <n v="8"/>
    <s v="a) studii superioare, în același an în care am absolvit BAC-ul"/>
    <s v="f) Ştiinţele naturii, matematică şi statistică"/>
    <n v="8"/>
    <s v="a) un pas/o etapa normal(ă) în viață"/>
    <s v="9,01-9,50"/>
    <n v="9"/>
    <s v="Experiența deosebită, câștig in formarea mea profesionala"/>
  </r>
  <r>
    <n v="47"/>
    <n v="1976"/>
    <x v="0"/>
    <x v="14"/>
    <s v="Regiunea Nord-Est"/>
    <s v="b) Masculin"/>
    <s v="a) filiera teoretică (profilurile umanist şi real)"/>
    <s v="a) mediul urban"/>
    <s v="Fizică"/>
    <n v="9"/>
    <s v="e) M-am pregătit constant pe tot parcursul liceului"/>
    <n v="10"/>
    <n v="2"/>
    <n v="8"/>
    <s v="d) Nu, m-am pregătit singur(ă)"/>
    <n v="9"/>
    <s v="b) studii superioare, la un an de la absolvire"/>
    <s v="a) Educație, f) Ştiinţele naturii, matematică şi statistică"/>
    <n v="10"/>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9"/>
    <s v="UN PAS MARE SPRE VIITORUL CARIEREI"/>
  </r>
  <r>
    <n v="48"/>
    <n v="1976"/>
    <x v="0"/>
    <x v="19"/>
    <s v="Regiunea Centru"/>
    <s v="b) Masculin"/>
    <s v="a) filiera teoretică (profilurile umanist şi real)"/>
    <s v="a) mediul urban"/>
    <s v="Fizică"/>
    <n v="1"/>
    <s v="e) M-am pregătit constant pe tot parcursul liceului"/>
    <n v="10"/>
    <n v="1"/>
    <n v="10"/>
    <s v="d) Nu, m-am pregătit singur(ă)"/>
    <n v="1"/>
    <s v="c) studii superioare, la 2-3 ani de la absolvire"/>
    <s v="h) Inginerie, producţie şi construcţii"/>
    <n v="10"/>
    <s v="a) un pas/o etapa normal(ă) în viață"/>
    <s v="9,01-9,50"/>
    <n v="10"/>
    <s v="O verificare normala a cunoștințelor acumulate în cei 12 ani de școală."/>
  </r>
  <r>
    <n v="49"/>
    <n v="1976"/>
    <x v="0"/>
    <x v="19"/>
    <s v="Regiunea Centru"/>
    <s v="a) Feminin"/>
    <s v="a) filiera teoretică (profilurile umanist şi real)"/>
    <s v="a) mediul urban"/>
    <s v="Fizică"/>
    <n v="9"/>
    <s v="e) M-am pregătit constant pe tot parcursul liceului"/>
    <n v="10"/>
    <n v="10"/>
    <n v="9"/>
    <s v="d) Nu, m-am pregătit singur(ă)"/>
    <n v="7"/>
    <s v="a) studii superioare, în același an în care am absolvit BAC-ul"/>
    <s v="Fizica"/>
    <n v="2"/>
    <s v="b) un eveniment deosebit, o reușită, o sărbătoare"/>
    <s v="9,51-10"/>
    <n v="10"/>
    <s v="Foarte implicată și cu multă plăcere, dorind sa fie un prim succes! Examenul a fost de mare corectitudine, cu sprijin din partea profesorilor, care ne susțineau pentru reușită! "/>
  </r>
  <r>
    <n v="50"/>
    <n v="1976"/>
    <x v="0"/>
    <x v="20"/>
    <s v="Regiunea Vest"/>
    <s v="a) Feminin"/>
    <s v="a) filiera teoretică (profilurile umanist şi real)"/>
    <s v="a) mediul urban"/>
    <s v="Biologie"/>
    <n v="1"/>
    <s v="a) sub 3 luni"/>
    <n v="10"/>
    <n v="1"/>
    <n v="10"/>
    <s v="d) Nu, m-am pregătit singur(ă)"/>
    <n v="1"/>
    <s v="a) studii superioare, în același an în care am absolvit BAC-ul"/>
    <s v="a) Educație"/>
    <n v="10"/>
    <s v="a) un pas/o etapa normal(ă) în viață"/>
    <s v="9,51-10"/>
    <n v="10"/>
    <s v="Munca_x000a_"/>
  </r>
  <r>
    <n v="51"/>
    <n v="1976"/>
    <x v="0"/>
    <x v="18"/>
    <s v="Regiunea Sud-Est"/>
    <s v="a) Feminin"/>
    <s v="a) filiera teoretică (profilurile umanist şi real)"/>
    <s v="a) mediul urban"/>
    <s v="Fizică"/>
    <n v="8"/>
    <s v="d) 12- 24 luni"/>
    <n v="10"/>
    <n v="9"/>
    <n v="9"/>
    <s v="d) Nu, m-am pregătit singur(ă)"/>
    <n v="8"/>
    <s v="a) studii superioare, în același an în care am absolvit BAC-ul"/>
    <s v="f) Ştiinţele naturii, matematică şi statistică"/>
    <n v="3"/>
    <s v="a) un pas/o etapa normal(ă) în viață"/>
    <s v="9,51-10"/>
    <n v="10"/>
    <s v="Emotie si satisfactie. "/>
  </r>
  <r>
    <n v="52"/>
    <n v="1976"/>
    <x v="0"/>
    <x v="6"/>
    <s v="Regiunea București-Ilfov"/>
    <s v="b) Masculin"/>
    <s v="a) filiera teoretică (profilurile umanist şi real)"/>
    <s v="a) mediul urban"/>
    <s v="Biologie"/>
    <n v="7"/>
    <s v="c) 6- 12 luni"/>
    <n v="8"/>
    <n v="10"/>
    <n v="9"/>
    <s v="d) Nu, m-am pregătit singur(ă)"/>
    <n v="6"/>
    <s v="b) studii superioare, la un an de la absolvire"/>
    <s v="h) Inginerie, producţie şi construcţii"/>
    <n v="2"/>
    <s v="a) un pas/o etapa normal(ă) în viață"/>
    <s v="6,51-7,00"/>
    <n v="6"/>
    <s v="Da"/>
  </r>
  <r>
    <n v="53"/>
    <n v="1977"/>
    <x v="0"/>
    <x v="6"/>
    <s v="Regiunea București-Ilfov"/>
    <s v="a) Feminin"/>
    <s v="a) filiera teoretică (profilurile umanist şi real)"/>
    <s v="a) mediul urban"/>
    <s v="Fizică"/>
    <n v="8"/>
    <s v="e) M-am pregătit constant pe tot parcursul liceului"/>
    <n v="10"/>
    <n v="8"/>
    <n v="9"/>
    <s v="d) Nu, m-am pregătit singur(ă)"/>
    <n v="5"/>
    <s v="a) studii superioare, în același an în care am absolvit BAC-ul"/>
    <s v="h) Inginerie, producţie şi construcţii"/>
    <n v="9"/>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9"/>
    <s v="Pregatire sustinuta, continua, serioasa"/>
  </r>
  <r>
    <n v="54"/>
    <n v="1977"/>
    <x v="0"/>
    <x v="21"/>
    <s v="Regiunea Sud-Muntenia"/>
    <s v="a) Feminin"/>
    <s v="a) filiera teoretică (profilurile umanist şi real)"/>
    <s v="a) mediul urban"/>
    <s v="Fizică"/>
    <n v="4"/>
    <s v="e) M-am pregătit constant pe tot parcursul liceului"/>
    <n v="9"/>
    <n v="8"/>
    <n v="10"/>
    <s v="d) Nu, m-am pregătit singur(ă)"/>
    <n v="6"/>
    <s v="a) studii superioare, în același an în care am absolvit BAC-ul"/>
    <s v="h) Inginerie, producţie şi construcţii"/>
    <n v="10"/>
    <s v="e) o etapa în care a influențat semnificativ dezvoltarea mea personală (în sens pozitiv)"/>
    <s v="8,51-9,00"/>
    <n v="10"/>
    <s v="Foarte multe exercitii si probleme la matematica si fizica din culegeri, Gheba, si altele. Muuult invatat gramatica , poezii , literatura."/>
  </r>
  <r>
    <n v="55"/>
    <n v="1977"/>
    <x v="0"/>
    <x v="8"/>
    <s v="Regiunea Nord-Est"/>
    <s v="a) Feminin"/>
    <s v="a) filiera teoretică (profilurile umanist şi real)"/>
    <s v="a) mediul urban"/>
    <s v="Fizică"/>
    <n v="5"/>
    <s v="c) 6- 12 luni"/>
    <n v="10"/>
    <n v="10"/>
    <n v="10"/>
    <s v="d) Nu, m-am pregătit singur(ă)"/>
    <n v="8"/>
    <s v="a) studii superioare, în același an în care am absolvit BAC-ul"/>
    <s v="h) Inginerie, producţie şi construcţii"/>
    <n v="10"/>
    <s v="e) o etapa în care a influențat semnificativ dezvoltarea mea personală (în sens pozitiv)"/>
    <s v="7,51-8,00"/>
    <n v="8"/>
    <s v="Seriozitate si perseverenta. Profesori dedicati "/>
  </r>
  <r>
    <n v="56"/>
    <n v="1977"/>
    <x v="0"/>
    <x v="16"/>
    <s v="Regiunea Vest"/>
    <s v="b) Masculin"/>
    <s v="a) filiera teoretică (profilurile umanist şi real)"/>
    <s v="a) mediul urban"/>
    <s v="Biologie"/>
    <n v="8"/>
    <s v="b) 3- 6 luni"/>
    <n v="10"/>
    <n v="10"/>
    <n v="10"/>
    <s v="d) Nu, m-am pregătit singur(ă)"/>
    <n v="7"/>
    <s v="a) studii superioare, în același an în care am absolvit BAC-ul"/>
    <s v="d) Științe Economice"/>
    <n v="10"/>
    <s v="e) o etapa în care a influențat semnificativ dezvoltarea mea personală (în sens pozitiv)"/>
    <s v="9,51-10"/>
    <n v="10"/>
    <s v="Normala"/>
  </r>
  <r>
    <n v="57"/>
    <n v="1977"/>
    <x v="0"/>
    <x v="23"/>
    <s v="Regiunea București-Ilfov"/>
    <s v="a) Feminin"/>
    <s v="a) filiera teoretică (profilurile umanist şi real)"/>
    <s v="a) mediul urban"/>
    <s v="Biologie"/>
    <n v="9"/>
    <s v="c) 6- 12 luni"/>
    <n v="10"/>
    <n v="10"/>
    <n v="10"/>
    <s v="a) Da, la una dintre materii"/>
    <n v="7"/>
    <s v="a) studii superioare, în același an în care am absolvit BAC-ul"/>
    <s v="d) Științe Economice"/>
    <n v="10"/>
    <s v="a) un pas/o etapa normal(ă) în viață"/>
    <s v="9,01-9,50"/>
    <n v="10"/>
    <s v="un rezultat bun obtinut dupa o pregatire serioasa"/>
  </r>
  <r>
    <n v="58"/>
    <n v="1977"/>
    <x v="0"/>
    <x v="24"/>
    <s v="Regiunea Nord-Est"/>
    <s v="a) Feminin"/>
    <s v="a) filiera teoretică (profilurile umanist şi real)"/>
    <s v="a) mediul urban"/>
    <s v="Chimie"/>
    <n v="5"/>
    <s v="e) M-am pregătit constant pe tot parcursul liceului"/>
    <n v="10"/>
    <n v="5"/>
    <n v="5"/>
    <s v="d) Nu, m-am pregătit singur(ă)"/>
    <n v="5"/>
    <s v="a) studii superioare, în același an în care am absolvit BAC-ul"/>
    <s v="a) Educație, d) Științe Economice, e) Administraţie şi drept"/>
    <n v="10"/>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9"/>
    <s v="Experiența legată de pregătirea și susținerea examenului de Bacalaureat a fost un proces intens și plin de provocări, marcat de o combinație de emoții, muncă susținută și strategie. Pregătirea a constat într-un efort constant de acumulare și consolidare a cunoștințelor dobândite de-a lungul anilor de liceu, cu accent pe materiile specifice profilului ales._x000a__x000a_Organizarea timpului a jucat un rol esențial, fiind necesar să îmi stabilesc un program riguros de studiu, cu sesiuni dedicate fiecărei discipline. Repetarea și exersarea prin teste și simulări au fost fundamentale pentru a mă obișnui cu formatul examenului și pentru a identifica punctele slabe care necesitau atenție suplimentară._x000a__x000a_Susținerea propriu-zisă a examenului a fost însoțită de emoții firești, dar gestionabile datorită pregătirii temeinice. Atmosfera din zilele examenului a fost concentrată și tensionată, dar și motivantă, deoarece reprezenta un punct culminant al eforturilor depuse._x000a_Experiența examenului de Bacalaureat a fost o etapă fundamentală în procesul meu de maturizare academică și personală, reprezentând nu doar un test al cunoștințelor acumulate în anii de liceu, ci și o pregătire esențială pentru traseul educațional pe care mi l-am propus. Această etapă a fost primul contact serios cu un examen de anvergură, care m-a învățat cum să îmi organizez eficient timpul, să îmi stabilesc priorități clare și să gestionez presiunea – abilități pe care le-am perfecționat ulterior în timpul studiilor universitare, al cercetării doctorale și al activității didactice._x000a__x000a_Parcursul de la examenul de Bacalaureat la susținerea doctoratului și devenirea profesor la universitate a fost marcat de o continuă aprofundare a cunoștințelor, o dezvoltare constantă a gândirii critice și o dedicare neîntreruptă față de domeniul meu de studiu. Totodată, experiența Bacalaureatului m-a învățat cum să transform emoțiile și stresul într-un motor al performanței, lucru esențial în susținerea tezei de doctorat și în activitatea didactică ulterioară. În acest context, Bacalaureatul a reprezentat nu doar un examen important, ci și un prim pas esențial în traseul meu profesional, oferindu-mi o bază solidă pentru cariera academică pe care mi-am dorit-o._x000a__x000a_Privind înapoi, pot spune că experiența examenului de Bacalaureat a fost una formativă, nu doar prin cunoștințele acumulate, ci și prin dezvoltarea unor abilități esențiale precum autodisciplina, gestionarea stresului și capacitatea de organizare. A fost o etapă importantă în procesul meu de maturizare academică și personală."/>
  </r>
  <r>
    <n v="59"/>
    <n v="1977"/>
    <x v="0"/>
    <x v="13"/>
    <s v="Regiunea Sud-Est"/>
    <s v="b) Masculin"/>
    <s v="a) filiera teoretică (profilurile umanist şi real)"/>
    <s v="a) mediul urban"/>
    <s v="Nu a fost cazul"/>
    <n v="8"/>
    <s v="c) 6- 12 luni"/>
    <n v="8"/>
    <n v="2"/>
    <n v="6"/>
    <s v="d) Nu, m-am pregătit singur(ă)"/>
    <n v="7"/>
    <s v="c) studii superioare, la 2-3 ani de la absolvire"/>
    <s v="a) Educație"/>
    <n v="10"/>
    <s v="d) o etapa in care a influențat semnificativ viitoarea mea cariera educațională și profesională;"/>
    <s v="7,51-8,00"/>
    <n v="5"/>
    <s v="O perioadă care mi-a terzit interesul pentru viitorul meu profesional"/>
  </r>
  <r>
    <n v="60"/>
    <n v="1977"/>
    <x v="0"/>
    <x v="25"/>
    <s v="Regiunea Sud-Muntenia"/>
    <s v="a) Feminin"/>
    <s v="a) filiera teoretică (profilurile umanist şi real)"/>
    <s v="a) mediul urban"/>
    <s v="Chimie"/>
    <n v="5"/>
    <s v="e) M-am pregătit constant pe tot parcursul liceului"/>
    <n v="10"/>
    <n v="5"/>
    <n v="5"/>
    <s v="d) Nu, m-am pregătit singur(ă)"/>
    <n v="8"/>
    <s v="a) studii superioare, în același an în care am absolvit BAC-ul"/>
    <s v="g) Tehnologia informaţiei şi a comunicaţiilor"/>
    <n v="8"/>
    <s v="a) un pas/o etapa normal(ă) în viață"/>
    <s v="9,51-10"/>
    <n v="10"/>
    <s v="firesc"/>
  </r>
  <r>
    <n v="61"/>
    <n v="1977"/>
    <x v="0"/>
    <x v="6"/>
    <s v="Regiunea București-Ilfov"/>
    <s v="b) Masculin"/>
    <s v="b) filiera tehnologică (profilurile tehnic, servicii, economic, resurse naturale şi protecţia mediului)"/>
    <s v="a) mediul urban"/>
    <s v="Limba Romana, matematica, chimie, tehnologia meseriei"/>
    <n v="8"/>
    <s v="e) M-am pregătit constant pe tot parcursul liceului"/>
    <n v="10"/>
    <n v="8"/>
    <n v="10"/>
    <s v="d) Nu, m-am pregătit singur(ă)"/>
    <n v="3"/>
    <s v="e) studii superioare, la peste 5 ani de la absolvirea BAC-lui"/>
    <s v="Management turism comert"/>
    <n v="9"/>
    <s v="e) o etapa în care a influențat semnificativ dezvoltarea mea personală (în sens pozitiv)"/>
    <s v="6,51-7,00"/>
    <n v="6"/>
    <s v="O experiență trăită cu intensitate emoțională destul de ridicata. Știam încă din ultimul an că trebuie să punem accent pe pregătire la materiile incluse in examen. Profesorii care predau la materiile  incluse in examen/BAC, ne-au susținut prin  diverse tematici pe care le-am lucrat pe tot parcul ultimului an dar și in vacanțe precum și cu lucrări ( gen test ) care nu erau punctate in catalog ,  ne-au încurajat  în mod special și au lucrat la &quot;mentalul&quot; nostru ( sa fim calmi, sa analizăm înainte de a scrie ceva ..etc ) Lucru pt care le-am mulțumit și pt care le vom rămâne veșnic recunoscători. Reușita noastră a fost și reușită lor, lucru cu care s-au mândrit ( Nr ff mare de absolvenți ) "/>
  </r>
  <r>
    <n v="62"/>
    <n v="1977"/>
    <x v="0"/>
    <x v="18"/>
    <s v="Regiunea Sud-Est"/>
    <s v="a) Feminin"/>
    <s v="a) filiera teoretică (profilurile umanist şi real)"/>
    <s v="b) mediul rural"/>
    <s v="Nu știu/Nu țin minte"/>
    <n v="8"/>
    <s v="b) 3- 6 luni"/>
    <n v="8"/>
    <n v="9"/>
    <n v="8"/>
    <s v="a) Da, la una dintre materii"/>
    <n v="8"/>
    <s v="a) studii superioare, în același an în care am absolvit BAC-ul"/>
    <s v="h) Inginerie, producţie şi construcţii"/>
    <n v="10"/>
    <s v="a) un pas/o etapa normal(ă) în viață"/>
    <s v="7,51-8,00"/>
    <n v="8"/>
    <s v="Cine invata ia Bac ul. Este examenul care incununeaza cei 12 ani scoala."/>
  </r>
  <r>
    <n v="63"/>
    <n v="1977"/>
    <x v="0"/>
    <x v="17"/>
    <s v="Regiunea Nord-Vest"/>
    <s v="b) Masculin"/>
    <s v="c) filiera vocaţională (profilurile militar, teologic, sportiv, artistic şi pedagogic)"/>
    <s v="a) mediul urban"/>
    <s v="Pedagogie"/>
    <n v="10"/>
    <s v="e) M-am pregătit constant pe tot parcursul liceului"/>
    <n v="10"/>
    <n v="1"/>
    <n v="10"/>
    <s v="d) Nu, m-am pregătit singur(ă)"/>
    <n v="6"/>
    <s v="b) studii superioare, la un an de la absolvire"/>
    <s v="d) Științe Economice"/>
    <n v="1"/>
    <s v="a) un pas/o etapa normal(ă) în viață"/>
    <s v="9,51-10"/>
    <n v="10"/>
    <s v="Finalizare studii preuniversitare"/>
  </r>
  <r>
    <n v="64"/>
    <n v="1977"/>
    <x v="0"/>
    <x v="26"/>
    <s v="Regiunea Sud-Vest Oltenia"/>
    <s v="a) Feminin"/>
    <s v="a) filiera teoretică (profilurile umanist şi real)"/>
    <s v="b) mediul rural"/>
    <s v="Biologie"/>
    <n v="8"/>
    <s v="e) M-am pregătit constant pe tot parcursul liceului"/>
    <n v="8"/>
    <n v="4"/>
    <n v="9"/>
    <s v="d) Nu, m-am pregătit singur(ă)"/>
    <n v="6"/>
    <s v="b) studii superioare, la un an de la absolvire"/>
    <s v="i) Agricultură, silvicultură, piscicultură şi ştiinţe veterinare"/>
    <n v="6"/>
    <s v="a) un pas/o etapa normal(ă) în viață"/>
    <s v="8,51-9,00"/>
    <n v="8"/>
    <s v="Un examen al maturitatii"/>
  </r>
  <r>
    <n v="65"/>
    <n v="1977"/>
    <x v="0"/>
    <x v="24"/>
    <s v="Regiunea Nord-Est"/>
    <s v="a) Feminin"/>
    <s v="c) filiera vocaţională (profilurile militar, teologic, sportiv, artistic şi pedagogic)"/>
    <s v="a) mediul urban"/>
    <s v="Psihologie"/>
    <n v="8"/>
    <s v="e) M-am pregătit constant pe tot parcursul liceului"/>
    <n v="10"/>
    <n v="10"/>
    <n v="10"/>
    <s v="d) Nu, m-am pregătit singur(ă)"/>
    <n v="10"/>
    <s v="e) studii superioare, la peste 5 ani de la absolvirea BAC-lui"/>
    <s v="a) Educație"/>
    <n v="10"/>
    <s v="d) o etapa in care a influențat semnificativ viitoarea mea cariera educațională și profesională;, e) o etapa în care a influențat semnificativ dezvoltarea mea personală (în sens pozitiv)"/>
    <s v="8,51-9,00"/>
    <n v="9"/>
    <s v="Multe materii si programa mult prea incarcata"/>
  </r>
  <r>
    <n v="66"/>
    <n v="1977"/>
    <x v="0"/>
    <x v="27"/>
    <s v="Regiunea Nord-Vest"/>
    <s v="a) Feminin"/>
    <s v="a) filiera teoretică (profilurile umanist şi real)"/>
    <s v="a) mediul urban"/>
    <s v="Fizică"/>
    <n v="6"/>
    <s v="e) M-am pregătit constant pe tot parcursul liceului"/>
    <n v="8"/>
    <n v="10"/>
    <n v="10"/>
    <s v="d) Nu, m-am pregătit singur(ă)"/>
    <n v="8"/>
    <s v="a) studii superioare, în același an în care am absolvit BAC-ul"/>
    <s v="h) Inginerie, producţie şi construcţii"/>
    <n v="10"/>
    <s v="d) o etapa in care a influențat semnificativ viitoarea mea cariera educațională și profesională;"/>
    <s v="8,01-8,50"/>
    <n v="10"/>
    <s v="Buna"/>
  </r>
  <r>
    <n v="67"/>
    <n v="1977"/>
    <x v="0"/>
    <x v="17"/>
    <s v="Regiunea Nord-Vest"/>
    <s v="b) Masculin"/>
    <s v="c) filiera vocaţională (profilurile militar, teologic, sportiv, artistic şi pedagogic)"/>
    <s v="a) mediul urban"/>
    <s v="Pedagogie "/>
    <n v="5"/>
    <s v="e) M-am pregătit constant pe tot parcursul liceului"/>
    <n v="9"/>
    <n v="1"/>
    <n v="5"/>
    <s v="d) Nu, m-am pregătit singur(ă)"/>
    <n v="6"/>
    <s v="e) studii superioare, la peste 5 ani de la absolvirea BAC-lui"/>
    <s v="c) Ştiinţe sociale, jurnalism şi informare, j) Sănătate şi asistenţă socială"/>
    <n v="10"/>
    <s v="d) o etapa in care a influențat semnificativ viitoarea mea cariera educațională și profesională;"/>
    <s v="8,01-8,50"/>
    <n v="8"/>
    <s v="O etapă importantă în viața mea. "/>
  </r>
  <r>
    <n v="68"/>
    <n v="1977"/>
    <x v="0"/>
    <x v="26"/>
    <s v="Regiunea Sud-Vest Oltenia"/>
    <s v="a) Feminin"/>
    <s v="a) filiera teoretică (profilurile umanist şi real)"/>
    <s v="a) mediul urban"/>
    <s v="Fizică"/>
    <n v="8"/>
    <s v="e) M-am pregătit constant pe tot parcursul liceului"/>
    <n v="10"/>
    <n v="7"/>
    <n v="10"/>
    <s v="d) Nu, m-am pregătit singur(ă)"/>
    <n v="7"/>
    <s v="a) studii superioare, în același an în care am absolvit BAC-ul"/>
    <s v="h) Inginerie, producţie şi construcţii"/>
    <n v="10"/>
    <s v="a) un pas/o etapa normal(ă) în viață"/>
    <s v="8,51-9,00"/>
    <n v="9"/>
    <s v="Examen de maturitate"/>
  </r>
  <r>
    <n v="69"/>
    <n v="1977"/>
    <x v="0"/>
    <x v="1"/>
    <s v="Regiunea Sud-Est"/>
    <s v="a) Feminin"/>
    <s v="a) filiera teoretică (profilurile umanist şi real)"/>
    <s v="a) mediul urban"/>
    <s v="Curs translator "/>
    <n v="5"/>
    <s v="a) sub 3 luni"/>
    <n v="1"/>
    <n v="1"/>
    <n v="8"/>
    <s v="d) Nu, m-am pregătit singur(ă)"/>
    <n v="5"/>
    <s v="f) studii postliceale / învățământ profesional terțiar"/>
    <s v="j) Sănătate şi asistenţă socială"/>
    <n v="5"/>
    <s v="a) un pas/o etapa normal(ă) în viață"/>
    <s v="7,51-8,00"/>
    <n v="10"/>
    <s v="Studiu și seriozitate "/>
  </r>
  <r>
    <n v="70"/>
    <n v="1977"/>
    <x v="0"/>
    <x v="25"/>
    <s v="Regiunea Sud-Muntenia"/>
    <s v="a) Feminin"/>
    <s v="a) filiera teoretică (profilurile umanist şi real)"/>
    <s v="a) mediul urban"/>
    <s v="Biologie"/>
    <n v="9"/>
    <s v="e) M-am pregătit constant pe tot parcursul liceului"/>
    <n v="9"/>
    <n v="10"/>
    <n v="10"/>
    <s v="d) Nu, m-am pregătit singur(ă)"/>
    <n v="6"/>
    <s v="a) studii superioare, în același an în care am absolvit BAC-ul"/>
    <s v="f) Ştiinţele naturii, matematică şi statistică"/>
    <n v="9"/>
    <s v="a) un pas/o etapa normal(ă) în viață"/>
    <s v="9,01-9,50"/>
    <n v="9"/>
    <s v="O etapă firească! "/>
  </r>
  <r>
    <n v="71"/>
    <n v="1977"/>
    <x v="0"/>
    <x v="28"/>
    <s v="Regiunea Vest"/>
    <s v="a) Feminin"/>
    <s v="a) filiera teoretică (profilurile umanist şi real)"/>
    <s v="a) mediul urban"/>
    <s v="Fizică"/>
    <n v="1"/>
    <s v="e) M-am pregătit constant pe tot parcursul liceului"/>
    <n v="9"/>
    <n v="10"/>
    <n v="10"/>
    <s v="d) Nu, m-am pregătit singur(ă)"/>
    <n v="2"/>
    <s v="a) studii superioare, în același an în care am absolvit BAC-ul"/>
    <s v="h) Inginerie, producţie şi construcţii"/>
    <n v="10"/>
    <s v="d) o etapa in care a influențat semnificativ viitoarea mea cariera educațională și profesională;"/>
    <s v="9,51-10"/>
    <n v="10"/>
    <s v="Etapa care a influențat viitorul meu"/>
  </r>
  <r>
    <n v="72"/>
    <n v="1978"/>
    <x v="0"/>
    <x v="10"/>
    <s v="Regiunea Sud-Muntenia"/>
    <s v="a) Feminin"/>
    <s v="b) filiera tehnologică (profilurile tehnic, servicii, economic, resurse naturale şi protecţia mediului)"/>
    <s v="a) mediul urban"/>
    <s v="Componente eletronice si electrotehnice "/>
    <n v="8"/>
    <s v="a) sub 3 luni"/>
    <n v="9"/>
    <n v="8"/>
    <n v="5"/>
    <s v="d) Nu, m-am pregătit singur(ă)"/>
    <n v="6"/>
    <s v="b) studii superioare, la un an de la absolvire"/>
    <s v="h) Inginerie, producţie şi construcţii"/>
    <n v="10"/>
    <s v="a) un pas/o etapa normal(ă) în viață, e) o etapa în care a influențat semnificativ dezvoltarea mea personală (în sens pozitiv)"/>
    <s v="8,01-8,50"/>
    <n v="8"/>
    <s v="Necesara pentru viitorul meu. "/>
  </r>
  <r>
    <n v="73"/>
    <n v="1978"/>
    <x v="0"/>
    <x v="1"/>
    <s v="Regiunea Sud-Est"/>
    <s v="b) Masculin"/>
    <s v="a) filiera teoretică (profilurile umanist şi real)"/>
    <s v="a) mediul urban"/>
    <s v="Fizică"/>
    <n v="6"/>
    <s v="c) 6- 12 luni"/>
    <n v="10"/>
    <n v="10"/>
    <n v="10"/>
    <s v="a) Da, la una dintre materii"/>
    <n v="9"/>
    <s v="a) studii superioare, în același an în care am absolvit BAC-ul"/>
    <s v="h) Inginerie, producţie şi construcţii"/>
    <n v="10"/>
    <s v="a) un pas/o etapa normal(ă) în viață"/>
    <s v="8,51-9,00"/>
    <n v="9"/>
    <s v="Seriozitate si responsabilitate"/>
  </r>
  <r>
    <n v="74"/>
    <n v="1978"/>
    <x v="0"/>
    <x v="6"/>
    <s v="Regiunea București-Ilfov"/>
    <s v="a) Feminin"/>
    <s v="a) filiera teoretică (profilurile umanist şi real)"/>
    <s v="a) mediul urban"/>
    <s v="Economie"/>
    <n v="9"/>
    <s v="e) M-am pregătit constant pe tot parcursul liceului"/>
    <n v="9"/>
    <n v="1"/>
    <n v="6"/>
    <s v="d) Nu, m-am pregătit singur(ă)"/>
    <n v="9"/>
    <s v="e) studii superioare, la peste 5 ani de la absolvirea BAC-lui"/>
    <s v="e) Administraţie şi drept"/>
    <n v="10"/>
    <s v="e) o etapa în care a influențat semnificativ dezvoltarea mea personală (în sens pozitiv)"/>
    <s v="9,01-9,50"/>
    <n v="10"/>
    <s v="Este Examenul maturitatii si este OBLIGATORIU sa fie obtinut de toti tinerii._x000a_Nu se poate altfel!"/>
  </r>
  <r>
    <n v="75"/>
    <n v="1978"/>
    <x v="0"/>
    <x v="29"/>
    <s v="Regiunea Sud-Muntenia"/>
    <s v="a) Feminin"/>
    <s v="a) filiera teoretică (profilurile umanist şi real)"/>
    <s v="a) mediul urban"/>
    <s v="Fizică"/>
    <n v="9"/>
    <s v="b) 3- 6 luni"/>
    <n v="10"/>
    <n v="6"/>
    <n v="10"/>
    <s v="d) Nu, m-am pregătit singur(ă)"/>
    <n v="9"/>
    <s v="k) studii de formare continuă a adulților"/>
    <s v="g) Tehnologia informaţiei şi a comunicaţiilor"/>
    <n v="10"/>
    <s v="d) o etapa in care a influențat semnificativ viitoarea mea cariera educațională și profesională;"/>
    <s v="7,01-7,50"/>
    <n v="10"/>
    <s v="A fost o experienta stresanta, deoarece in acceasi perioada am avut si calitatea de salariata."/>
  </r>
  <r>
    <n v="76"/>
    <n v="1978"/>
    <x v="0"/>
    <x v="2"/>
    <s v="Regiunea Sud-Muntenia"/>
    <s v="b) Masculin"/>
    <s v="a) filiera teoretică (profilurile umanist şi real)"/>
    <s v="a) mediul urban"/>
    <s v="Chimie"/>
    <n v="9"/>
    <s v="b) 3- 6 luni"/>
    <n v="9"/>
    <n v="8"/>
    <n v="8"/>
    <s v="d) Nu, m-am pregătit singur(ă)"/>
    <n v="4"/>
    <s v="e) studii superioare, la peste 5 ani de la absolvirea BAC-lui"/>
    <s v="c) Ştiinţe sociale, jurnalism şi informare"/>
    <n v="9"/>
    <s v="e) o etapa în care a influențat semnificativ dezvoltarea mea personală (în sens pozitiv)"/>
    <s v="6,51-7,00"/>
    <n v="8"/>
    <s v="O etapă normală în pregătirea pentru etapele următoare în cariera mea."/>
  </r>
  <r>
    <n v="77"/>
    <n v="1978"/>
    <x v="0"/>
    <x v="1"/>
    <s v="Regiunea Sud-Est"/>
    <s v="b) Masculin"/>
    <s v="b) filiera tehnologică (profilurile tehnic, servicii, economic, resurse naturale şi protecţia mediului)"/>
    <s v="a) mediul urban"/>
    <s v="Nu a fost cazul"/>
    <n v="10"/>
    <s v="a) sub 3 luni"/>
    <n v="10"/>
    <n v="1"/>
    <n v="10"/>
    <s v="d) Nu, m-am pregătit singur(ă)"/>
    <n v="2"/>
    <s v="a) studii superioare, în același an în care am absolvit BAC-ul"/>
    <s v="h) Inginerie, producţie şi construcţii"/>
    <n v="10"/>
    <s v="a) un pas/o etapa normal(ă) în viață"/>
    <s v="9,51-10"/>
    <n v="9"/>
    <s v="Normal"/>
  </r>
  <r>
    <n v="78"/>
    <n v="1978"/>
    <x v="0"/>
    <x v="8"/>
    <s v="Regiunea Nord-Est"/>
    <s v="a) Feminin"/>
    <s v="b) filiera tehnologică (profilurile tehnic, servicii, economic, resurse naturale şi protecţia mediului)"/>
    <s v="a) mediul urban"/>
    <s v="Geografie"/>
    <n v="7"/>
    <s v="b) 3- 6 luni"/>
    <n v="9"/>
    <n v="6"/>
    <n v="8"/>
    <s v="d) Nu, m-am pregătit singur(ă)"/>
    <n v="7"/>
    <s v="b) studii superioare, la un an de la absolvire"/>
    <s v="h) Inginerie, producţie şi construcţii"/>
    <n v="6"/>
    <s v="a) un pas/o etapa normal(ă) în viață"/>
    <s v="9,51-10"/>
    <n v="9"/>
    <s v="Muncă, emoții, bucurie!"/>
  </r>
  <r>
    <n v="79"/>
    <n v="1978"/>
    <x v="0"/>
    <x v="1"/>
    <s v="Regiunea Sud-Est"/>
    <s v="a) Feminin"/>
    <s v="a) filiera teoretică (profilurile umanist şi real)"/>
    <s v="a) mediul urban"/>
    <s v="lucrare practică"/>
    <n v="8"/>
    <s v="e) M-am pregătit constant pe tot parcursul liceului"/>
    <n v="9"/>
    <n v="9"/>
    <n v="8"/>
    <s v="d) Nu, m-am pregătit singur(ă)"/>
    <n v="8"/>
    <s v="e) studii superioare, la peste 5 ani de la absolvirea BAC-lui, f) studii postliceale / învățământ profesional terțiar, k) studii de formare continuă a adulților"/>
    <s v="d) Științe Economice"/>
    <n v="9"/>
    <s v="d) o etapa in care a influențat semnificativ viitoarea mea cariera educațională și profesională;"/>
    <s v="6,51-7,00"/>
    <n v="6"/>
    <s v="alegerea unor tehnici potrivite pentru gestionarea emoțiilor cât și luarea unor măsuri remediale referitoare la ritmul de studiu"/>
  </r>
  <r>
    <n v="80"/>
    <n v="1978"/>
    <x v="0"/>
    <x v="28"/>
    <s v="Regiunea Vest"/>
    <s v="b) Masculin"/>
    <s v="a) filiera teoretică (profilurile umanist şi real)"/>
    <s v="a) mediul urban"/>
    <s v="Nu a fost cazul"/>
    <n v="1"/>
    <s v="e) M-am pregătit constant pe tot parcursul liceului"/>
    <n v="10"/>
    <n v="1"/>
    <n v="10"/>
    <s v="d) Nu, m-am pregătit singur(ă)"/>
    <n v="1"/>
    <s v="a) studii superioare, în același an în care am absolvit BAC-ul"/>
    <s v="g) Tehnologia informaţiei şi a comunicaţiilor"/>
    <n v="10"/>
    <s v="a) un pas/o etapa normal(ă) în viață"/>
    <s v="9,51-10"/>
    <n v="10"/>
    <s v="Verificarea cunoștințelor si competentelor_x000a_dobândite în liceu"/>
  </r>
  <r>
    <n v="81"/>
    <n v="1978"/>
    <x v="0"/>
    <x v="17"/>
    <s v="Regiunea Nord-Vest"/>
    <s v="a) Feminin"/>
    <s v="c) filiera vocaţională (profilurile militar, teologic, sportiv, artistic şi pedagogic)"/>
    <s v="a) mediul urban"/>
    <s v="Psihologie"/>
    <n v="9"/>
    <s v="e) M-am pregătit constant pe tot parcursul liceului"/>
    <n v="8"/>
    <n v="9"/>
    <n v="9"/>
    <s v="d) Nu, m-am pregătit singur(ă)"/>
    <n v="7"/>
    <s v="e) studii superioare, la peste 5 ani de la absolvirea BAC-lui"/>
    <s v="a) Educație"/>
    <n v="5"/>
    <s v="b) un eveniment deosebit, o reușită, o sărbătoare"/>
    <s v="8,51-9,00"/>
    <n v="7"/>
    <s v="Pregătire pentru viata și activitatea didactica"/>
  </r>
  <r>
    <n v="82"/>
    <n v="1978"/>
    <x v="0"/>
    <x v="22"/>
    <s v="Regiunea Nord-Est"/>
    <s v="a) Feminin"/>
    <s v="b) filiera tehnologică (profilurile tehnic, servicii, economic, resurse naturale şi protecţia mediului)"/>
    <s v="a) mediul urban"/>
    <s v="Technologie  Alimentație publicǎ"/>
    <n v="8"/>
    <s v="e) M-am pregătit constant pe tot parcursul liceului"/>
    <n v="10"/>
    <n v="1"/>
    <n v="10"/>
    <s v="d) Nu, m-am pregătit singur(ă)"/>
    <n v="6"/>
    <s v="b) studii superioare, la un an de la absolvire"/>
    <s v="k) Arhitectură și urbanism"/>
    <n v="9"/>
    <s v="d) o etapa in care a influențat semnificativ viitoarea mea cariera educațională și profesională;"/>
    <s v="7,51-8,00"/>
    <n v="5"/>
    <s v="Pregǎtirea pentru maturitate o faci pe parcursul anilor de studiu, classes I - XII învǎțând la fie are materie."/>
  </r>
  <r>
    <n v="83"/>
    <n v="1978"/>
    <x v="0"/>
    <x v="5"/>
    <s v="Regiunea Nord-Vest"/>
    <s v="b) Masculin"/>
    <s v="b) filiera tehnologică (profilurile tehnic, servicii, economic, resurse naturale şi protecţia mediului)"/>
    <s v="a) mediul urban"/>
    <s v="Economie"/>
    <n v="8"/>
    <s v="c) 6- 12 luni"/>
    <n v="8"/>
    <n v="9"/>
    <n v="9"/>
    <s v="d) Nu, m-am pregătit singur(ă)"/>
    <n v="9"/>
    <s v="a) studii superioare, în același an în care am absolvit BAC-ul"/>
    <s v="d) Științe Economice"/>
    <n v="9"/>
    <s v="d) o etapa in care a influențat semnificativ viitoarea mea cariera educațională și profesională;"/>
    <s v="8,51-9,00"/>
    <n v="9"/>
    <s v="Muncă și  seriozității "/>
  </r>
  <r>
    <n v="84"/>
    <n v="1978"/>
    <x v="0"/>
    <x v="30"/>
    <s v="Regiunea Sud-Est"/>
    <s v="a) Feminin"/>
    <s v="a) filiera teoretică (profilurile umanist şi real)"/>
    <s v="a) mediul urban"/>
    <s v="Filosofie"/>
    <n v="5"/>
    <s v="e) M-am pregătit constant pe tot parcursul liceului"/>
    <n v="8"/>
    <n v="6"/>
    <n v="9"/>
    <s v="d) Nu, m-am pregătit singur(ă)"/>
    <n v="8"/>
    <s v="c) studii superioare, la 2-3 ani de la absolvire"/>
    <s v="a) Educație"/>
    <n v="10"/>
    <s v="a) un pas/o etapa normal(ă) în viață"/>
    <s v="7,51-8,00"/>
    <n v="5"/>
    <s v="Un mod de autoeducare "/>
  </r>
  <r>
    <n v="85"/>
    <n v="1978"/>
    <x v="0"/>
    <x v="6"/>
    <s v="Regiunea București-Ilfov"/>
    <s v="b) Masculin"/>
    <s v="a) filiera teoretică (profilurile umanist şi real)"/>
    <s v="a) mediul urban"/>
    <s v="Fizică"/>
    <n v="8"/>
    <s v="c) 6- 12 luni"/>
    <n v="9"/>
    <n v="9"/>
    <n v="9"/>
    <s v="a) Da, la una dintre materii"/>
    <n v="8"/>
    <s v="c) studii superioare, la 2-3 ani de la absolvire"/>
    <s v="h) Inginerie, producţie şi construcţii"/>
    <n v="10"/>
    <s v="e) o etapa în care a influențat semnificativ dezvoltarea mea personală (în sens pozitiv)"/>
    <s v="9,51-10"/>
    <n v="10"/>
    <s v="Pozitivă și necesară in  dezvoltarea mea."/>
  </r>
  <r>
    <n v="86"/>
    <n v="1978"/>
    <x v="0"/>
    <x v="30"/>
    <s v="Regiunea Sud-Est"/>
    <s v="b) Masculin"/>
    <s v="b) filiera tehnologică (profilurile tehnic, servicii, economic, resurse naturale şi protecţia mediului)"/>
    <s v="a) mediul urban"/>
    <s v="Fizică"/>
    <n v="8"/>
    <s v="b) 3- 6 luni"/>
    <n v="8"/>
    <n v="9"/>
    <n v="9"/>
    <s v="a) Da, la una dintre materii"/>
    <n v="7"/>
    <s v="e) studii superioare, la peste 5 ani de la absolvirea BAC-lui"/>
    <s v="h) Inginerie, producţie şi construcţii"/>
    <n v="9"/>
    <s v="a) un pas/o etapa normal(ă) în viață, d) o etapa in care a influențat semnificativ viitoarea mea cariera educațională și profesională;"/>
    <s v="7,51-8,00"/>
    <n v="7"/>
    <s v="Buna "/>
  </r>
  <r>
    <n v="87"/>
    <n v="1978"/>
    <x v="0"/>
    <x v="17"/>
    <s v="Regiunea Nord-Vest"/>
    <s v="a) Feminin"/>
    <s v="a) filiera teoretică (profilurile umanist şi real)"/>
    <s v="a) mediul urban"/>
    <s v="Nu știu/Nu țin minte"/>
    <n v="8"/>
    <s v="e) M-am pregătit constant pe tot parcursul liceului"/>
    <n v="10"/>
    <n v="9"/>
    <n v="9"/>
    <s v="d) Nu, m-am pregătit singur(ă)"/>
    <n v="8"/>
    <s v="b) studii superioare, la un an de la absolvire"/>
    <s v="b) Arte şi ştiinţe umaniste"/>
    <n v="8"/>
    <s v="a) un pas/o etapa normal(ă) în viață"/>
    <s v="9,51-10"/>
    <n v="9"/>
    <s v="Efort susținut și seriozitate "/>
  </r>
  <r>
    <n v="88"/>
    <n v="1978"/>
    <x v="0"/>
    <x v="15"/>
    <s v="Regiunea Centru"/>
    <s v="a) Feminin"/>
    <s v="b) filiera tehnologică (profilurile tehnic, servicii, economic, resurse naturale şi protecţia mediului)"/>
    <s v="a) mediul urban"/>
    <s v="Proiect"/>
    <n v="9"/>
    <s v="e) M-am pregătit constant pe tot parcursul liceului"/>
    <n v="10"/>
    <n v="9"/>
    <n v="9"/>
    <s v="d) Nu, m-am pregătit singur(ă)"/>
    <n v="8"/>
    <s v="a) studii superioare, în același an în care am absolvit BAC-ul"/>
    <s v="h) Inginerie, producţie şi construcţii"/>
    <n v="10"/>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9,51-10"/>
    <n v="10"/>
    <s v="A fost al doilea important examen din viata mea, primul examen fiind admiterea le liceu."/>
  </r>
  <r>
    <n v="89"/>
    <n v="1978"/>
    <x v="0"/>
    <x v="5"/>
    <s v="Regiunea Nord-Vest"/>
    <s v="a) Feminin"/>
    <s v="b) filiera tehnologică (profilurile tehnic, servicii, economic, resurse naturale şi protecţia mediului)"/>
    <s v="a) mediul urban"/>
    <s v="Fizică"/>
    <n v="7"/>
    <s v="d) 12- 24 luni"/>
    <n v="10"/>
    <n v="1"/>
    <n v="10"/>
    <s v="d) Nu, m-am pregătit singur(ă)"/>
    <n v="3"/>
    <s v="a) studii superioare, în același an în care am absolvit BAC-ul"/>
    <s v="h) Inginerie, producţie şi construcţii"/>
    <n v="10"/>
    <s v="c) o etapă în care a influențat semnificativ viitoarea mea cariera educațională"/>
    <s v="8,51-9,00"/>
    <n v="9"/>
    <s v="Munca, seriozitate, implicare și dorința de a urma studiile superioare in domeniul tehnic."/>
  </r>
  <r>
    <n v="90"/>
    <n v="1978"/>
    <x v="0"/>
    <x v="26"/>
    <s v="Regiunea Sud-Vest Oltenia"/>
    <s v="b) Masculin"/>
    <s v="c) filiera vocaţională (profilurile militar, teologic, sportiv, artistic şi pedagogic)"/>
    <s v="a) mediul urban"/>
    <s v="Instrument principal "/>
    <n v="4"/>
    <s v="e) M-am pregătit constant pe tot parcursul liceului"/>
    <n v="7"/>
    <n v="3"/>
    <n v="3"/>
    <s v="d) Nu, m-am pregătit singur(ă)"/>
    <n v="4"/>
    <s v="c) studii superioare, la 2-3 ani de la absolvire"/>
    <s v="b) Arte şi ştiinţe umaniste"/>
    <n v="8"/>
    <s v="c) o etapă în care a influențat semnificativ viitoarea mea cariera educațională"/>
    <s v="7,01-7,50"/>
    <n v="9"/>
    <s v="A fost o experiență stresantă, având în vedere condițiile de atunci, dar totul e bine când se termină cu bine!"/>
  </r>
  <r>
    <n v="91"/>
    <n v="1978"/>
    <x v="0"/>
    <x v="31"/>
    <s v="Regiunea Sud-Vest Oltenia"/>
    <s v="a) Feminin"/>
    <s v="c) filiera vocaţională (profilurile militar, teologic, sportiv, artistic şi pedagogic)"/>
    <s v="a) mediul urban"/>
    <s v="Proba practica"/>
    <n v="10"/>
    <s v="e) M-am pregătit constant pe tot parcursul liceului"/>
    <n v="10"/>
    <n v="1"/>
    <n v="7"/>
    <s v="d) Nu, m-am pregătit singur(ă)"/>
    <n v="9"/>
    <s v="e) studii superioare, la peste 5 ani de la absolvirea BAC-lui"/>
    <s v="a) Educație, e) Administraţie şi drept"/>
    <n v="10"/>
    <s v="a) un pas/o etapa normal(ă) în viață, d) o etapa in care a influențat semnificativ viitoarea mea cariera educațională și profesională;"/>
    <s v="9,01-9,50"/>
    <n v="9"/>
    <s v="Normala"/>
  </r>
  <r>
    <n v="92"/>
    <n v="1978"/>
    <x v="0"/>
    <x v="32"/>
    <s v="Regiunea Sud-Vest Oltenia"/>
    <s v="a) Feminin"/>
    <s v="c) filiera vocaţională (profilurile militar, teologic, sportiv, artistic şi pedagogic)"/>
    <s v="a) mediul urban"/>
    <s v="Pedagogie "/>
    <n v="10"/>
    <s v="e) M-am pregătit constant pe tot parcursul liceului"/>
    <n v="10"/>
    <n v="5"/>
    <n v="7"/>
    <s v="d) Nu, m-am pregătit singur(ă)"/>
    <n v="8"/>
    <s v="g) Nu am mai urmat alte studii"/>
    <s v="a) Educație"/>
    <n v="10"/>
    <s v="c) o etapă în care a influențat semnificativ viitoarea mea cariera educațională"/>
    <s v="8,51-9,00"/>
    <n v="10"/>
    <s v="Pregătirea pentru examen a fost temeinică. Conta media pentru repartiție. "/>
  </r>
  <r>
    <n v="93"/>
    <n v="1979"/>
    <x v="0"/>
    <x v="18"/>
    <s v="Regiunea Sud-Est"/>
    <s v="a) Feminin"/>
    <s v="b) filiera tehnologică (profilurile tehnic, servicii, economic, resurse naturale şi protecţia mediului)"/>
    <s v="a) mediul urban"/>
    <s v="Economie"/>
    <n v="2"/>
    <s v="e) M-am pregătit constant pe tot parcursul liceului"/>
    <n v="9"/>
    <n v="1"/>
    <n v="2"/>
    <s v="d) Nu, m-am pregătit singur(ă)"/>
    <n v="3"/>
    <s v="e) studii superioare, la peste 5 ani de la absolvirea BAC-lui"/>
    <s v="e) Administraţie şi drept"/>
    <n v="10"/>
    <s v="d) o etapa in care a influențat semnificativ viitoarea mea cariera educațională și profesională;"/>
    <s v="7,51-8,00"/>
    <n v="9"/>
    <s v="Absolvenții de liceu cu diplomă de bacalaureat erau respectați, considerați pregătiți pentru viața, atat pe plan educational cat și profesional și personal. Din aceste motive elevii se simțeau ( în proporție foarte mare) stimulați să învețe, să se pregătească pentru etapa viitoare din viața. Profesorii erau foarte bine pregătiți, predau materiile cu profesionalism dar, mai ales cu pasiune astfel ca noi, elevii plecam din clasă cu lecțiile aproape învățate. Studiul individual și lucrul suplimentar din culegeri ne-au fost de un real sprijin și o reală motivație. Bacalaureatul a fost  (din punctul meu de vedere) ca o valorificare a cunoștințelor acumulate în perioada anilor de liceu, evaluarea performanțelor școlare ale elevilor._x000a_Lipsind mijloacele de comunicare actuale, noi ne completam cunoștințele citind, studiind, cumpărând sau împrumutând cărți între colegi și din biblioteci."/>
  </r>
  <r>
    <n v="94"/>
    <n v="1979"/>
    <x v="0"/>
    <x v="12"/>
    <s v="Regiunea Vest"/>
    <s v="a) Feminin"/>
    <s v="a) filiera teoretică (profilurile umanist şi real)"/>
    <s v="a) mediul urban"/>
    <s v="Biologie"/>
    <n v="8"/>
    <s v="c) 6- 12 luni"/>
    <n v="10"/>
    <n v="9"/>
    <n v="10"/>
    <s v="d) Nu, m-am pregătit singur(ă)"/>
    <n v="5"/>
    <s v="a) studii superioare, în același an în care am absolvit BAC-ul"/>
    <s v="c) Ştiinţe sociale, jurnalism şi informare"/>
    <n v="10"/>
    <s v="a) un pas/o etapa normal(ă) în viață"/>
    <s v="9,51-10"/>
    <n v="9"/>
    <s v="O experienta pozitiva. Mai putin dificil decat ma asteptam. Am regretat doar ca la proba a treia nu am obtinut nota maxima."/>
  </r>
  <r>
    <n v="95"/>
    <n v="1979"/>
    <x v="0"/>
    <x v="31"/>
    <s v="Regiunea Sud-Vest Oltenia"/>
    <s v="b) Masculin"/>
    <s v="a) filiera teoretică (profilurile umanist şi real)"/>
    <s v="a) mediul urban"/>
    <s v="Proiect tehnic"/>
    <n v="7"/>
    <s v="c) 6- 12 luni"/>
    <n v="10"/>
    <n v="10"/>
    <n v="9"/>
    <s v="d) Nu, m-am pregătit singur(ă)"/>
    <n v="7"/>
    <s v="c) studii superioare, la 2-3 ani de la absolvire"/>
    <s v="i) Agricultură, silvicultură, piscicultură şi ştiinţe veterinare"/>
    <n v="9"/>
    <s v="a) un pas/o etapa normal(ă) în viață"/>
    <s v="7,01-7,50"/>
    <n v="7"/>
    <s v="La vârsta de atunci, 18 ani, totul părea simplu și nu m..am implicat asa cum ar fi trebuit în pregătirea pentru acest examen care te urmărește pe tot parcursul vieții "/>
  </r>
  <r>
    <n v="96"/>
    <n v="1979"/>
    <x v="0"/>
    <x v="16"/>
    <s v="Regiunea Vest"/>
    <s v="b) Masculin"/>
    <s v="a) filiera teoretică (profilurile umanist şi real)"/>
    <s v="a) mediul urban"/>
    <s v="Nu a fost cazul"/>
    <n v="3"/>
    <s v="a) sub 3 luni"/>
    <n v="10"/>
    <n v="2"/>
    <n v="10"/>
    <s v="d) Nu, m-am pregătit singur(ă)"/>
    <n v="2"/>
    <s v="a) studii superioare, în același an în care am absolvit BAC-ul"/>
    <s v="h) Inginerie, producţie şi construcţii"/>
    <n v="9"/>
    <s v="a) un pas/o etapa normal(ă) în viață"/>
    <s v="9,01-9,50"/>
    <n v="9"/>
    <s v="Un pas, o etapă necesară, chiar dacă nu foarte dificilă, în pregătirea celui mai important examen: Admiterea la facultate!"/>
  </r>
  <r>
    <n v="97"/>
    <n v="1979"/>
    <x v="0"/>
    <x v="6"/>
    <s v="Regiunea București-Ilfov"/>
    <s v="a) Feminin"/>
    <s v="a) filiera teoretică (profilurile umanist şi real)"/>
    <s v="a) mediul urban"/>
    <s v="Nu știu/Nu țin minte"/>
    <n v="10"/>
    <s v="d) 12- 24 luni"/>
    <n v="10"/>
    <n v="10"/>
    <n v="10"/>
    <s v="a) Da, la una dintre materii"/>
    <n v="10"/>
    <s v="b) studii superioare, la un an de la absolvire"/>
    <s v="h) Inginerie, producţie şi construcţii"/>
    <n v="10"/>
    <s v="a) un pas/o etapa normal(ă) în viață, b) un eveniment deosebit, o reușită, o sărbătoare, d) o etapa in care a influențat semnificativ viitoarea mea cariera educațională și profesională;, e) o etapa în care a influențat semnificativ dezvoltarea mea personală (în sens pozitiv)"/>
    <s v="8,51-9,00"/>
    <n v="10"/>
    <s v="Multă muncă, mult consum emoțional, multă disciplină și bună organizare. În final, după absolvire, o mare satisfacție și bucurie. "/>
  </r>
  <r>
    <n v="98"/>
    <n v="1979"/>
    <x v="0"/>
    <x v="33"/>
    <s v="Regiunea Nord-Vest"/>
    <s v="a) Feminin"/>
    <s v="c) filiera vocaţională (profilurile militar, teologic, sportiv, artistic şi pedagogic)"/>
    <s v="a) mediul urban"/>
    <s v="Nu știu/Nu țin minte"/>
    <n v="8"/>
    <s v="b) 3- 6 luni"/>
    <n v="9"/>
    <n v="10"/>
    <n v="10"/>
    <s v="d) Nu, m-am pregătit singur(ă)"/>
    <n v="5"/>
    <s v="f) studii postliceale / învățământ profesional terțiar"/>
    <s v="bijutier"/>
    <n v="9"/>
    <s v="a) un pas/o etapa normal(ă) în viață"/>
    <s v="8,01-8,50"/>
    <n v="8"/>
    <s v="Placuta."/>
  </r>
  <r>
    <n v="99"/>
    <n v="1979"/>
    <x v="0"/>
    <x v="31"/>
    <s v="Regiunea Sud-Vest Oltenia"/>
    <s v="b) Masculin"/>
    <s v="b) filiera tehnologică (profilurile tehnic, servicii, economic, resurse naturale şi protecţia mediului)"/>
    <s v="a) mediul urban"/>
    <s v="Fizică"/>
    <n v="8"/>
    <s v="e) M-am pregătit constant pe tot parcursul liceului"/>
    <n v="8"/>
    <n v="1"/>
    <n v="9"/>
    <s v="d) Nu, m-am pregătit singur(ă)"/>
    <n v="5"/>
    <s v="a) studii superioare, în același an în care am absolvit BAC-ul"/>
    <s v="f) Ştiinţele naturii, matematică şi statistică"/>
    <n v="2"/>
    <s v="d) o etapa in care a influențat semnificativ viitoarea mea cariera educațională și profesională;"/>
    <s v="8,51-9,00"/>
    <n v="8"/>
    <s v="O situație obișnuită!"/>
  </r>
  <r>
    <n v="100"/>
    <n v="1979"/>
    <x v="0"/>
    <x v="17"/>
    <s v="Regiunea Nord-Vest"/>
    <s v="a) Feminin"/>
    <s v="a) filiera teoretică (profilurile umanist şi real)"/>
    <s v="a) mediul urban"/>
    <s v="Chimie"/>
    <n v="9"/>
    <s v="e) M-am pregătit constant pe tot parcursul liceului"/>
    <n v="10"/>
    <n v="10"/>
    <n v="10"/>
    <s v="d) Nu, m-am pregătit singur(ă)"/>
    <n v="3"/>
    <s v="b) studii superioare, la un an de la absolvire"/>
    <s v="h) Inginerie, producţie şi construcţii"/>
    <n v="10"/>
    <s v="a) un pas/o etapa normal(ă) în viață"/>
    <s v="9,51-10"/>
    <n v="10"/>
    <s v="O pregătire normală, fără probleme !"/>
  </r>
  <r>
    <n v="101"/>
    <n v="1979"/>
    <x v="0"/>
    <x v="7"/>
    <s v="Regiunea Centru"/>
    <s v="a) Feminin"/>
    <s v="a) filiera teoretică (profilurile umanist şi real)"/>
    <s v="a) mediul urban"/>
    <s v="Proiect practic"/>
    <n v="9"/>
    <s v="e) M-am pregătit constant pe tot parcursul liceului"/>
    <n v="10"/>
    <n v="10"/>
    <n v="10"/>
    <s v="d) Nu, m-am pregătit singur(ă)"/>
    <n v="2"/>
    <s v="a) studii superioare, în același an în care am absolvit BAC-ul"/>
    <s v="h) Inginerie, producţie şi construcţii"/>
    <n v="10"/>
    <s v="b) un eveniment deosebit, o reușită, o sărbătoare, d) o etapa in care a influențat semnificativ viitoarea mea cariera educațională și profesională;, e) o etapa în care a influențat semnificativ dezvoltarea mea personală (în sens pozitiv)"/>
    <s v="8,51-9,00"/>
    <n v="10"/>
    <s v="Mi-a făcut plăcere să mă pregătesc în mod special pentru examen"/>
  </r>
  <r>
    <n v="102"/>
    <n v="1979"/>
    <x v="0"/>
    <x v="31"/>
    <s v="Regiunea Sud-Vest Oltenia"/>
    <s v="a) Feminin"/>
    <s v="a) filiera teoretică (profilurile umanist şi real)"/>
    <s v="b) mediul rural"/>
    <s v="Fizică"/>
    <n v="3"/>
    <s v="e) M-am pregătit constant pe tot parcursul liceului"/>
    <n v="10"/>
    <n v="10"/>
    <n v="10"/>
    <s v="d) Nu, m-am pregătit singur(ă)"/>
    <n v="5"/>
    <s v="a) studii superioare, în același an în care am absolvit BAC-ul"/>
    <s v="a) Educație"/>
    <n v="10"/>
    <s v="e) o etapa în care a influențat semnificativ dezvoltarea mea personală (în sens pozitiv)"/>
    <s v="9,51-10"/>
    <n v="10"/>
    <s v="Mi-a oferit o bună cunoaștere a propriei persoane !"/>
  </r>
  <r>
    <n v="103"/>
    <n v="1979"/>
    <x v="0"/>
    <x v="29"/>
    <s v="Regiunea Sud-Muntenia"/>
    <s v="a) Feminin"/>
    <s v="c) filiera vocaţională (profilurile militar, teologic, sportiv, artistic şi pedagogic)"/>
    <s v="a) mediul urban"/>
    <s v="Psihologie"/>
    <n v="9"/>
    <s v="e) M-am pregătit constant pe tot parcursul liceului"/>
    <n v="7"/>
    <n v="9"/>
    <n v="7"/>
    <s v="d) Nu, m-am pregătit singur(ă)"/>
    <n v="9"/>
    <s v="g) Nu am mai urmat alte studii"/>
    <s v="a) Educație"/>
    <n v="10"/>
    <s v="a) un pas/o etapa normal(ă) în viață, d) o etapa in care a influențat semnificativ viitoarea mea cariera educațională și profesională;, e) o etapa în care a influențat semnificativ dezvoltarea mea personală (în sens pozitiv)"/>
    <s v="7,51-8,00"/>
    <n v="9"/>
    <s v="Examenul de bacalaureat m-a făcut mai responsabilă, mai organizată și am învățat să-mi gestionez mai bine emoțiile."/>
  </r>
  <r>
    <n v="104"/>
    <n v="1979"/>
    <x v="0"/>
    <x v="6"/>
    <s v="Regiunea București-Ilfov"/>
    <s v="b) Masculin"/>
    <s v="b) filiera tehnologică (profilurile tehnic, servicii, economic, resurse naturale şi protecţia mediului)"/>
    <s v="a) mediul urban"/>
    <s v="Electronica"/>
    <n v="10"/>
    <s v="c) 6- 12 luni"/>
    <n v="10"/>
    <n v="10"/>
    <n v="10"/>
    <s v="a) Da, la una dintre materii"/>
    <n v="1"/>
    <s v="a) studii superioare, în același an în care am absolvit BAC-ul, e) studii superioare, la peste 5 ani de la absolvirea BAC-lui"/>
    <s v="h) Inginerie, producţie şi construcţii, Informatica"/>
    <n v="10"/>
    <s v="e) o etapa în care a influențat semnificativ dezvoltarea mea personală (în sens pozitiv)"/>
    <s v="8,51-9,00"/>
    <n v="10"/>
    <s v="Pregătirea pentru admitere la facultate mi a facilitat promovarea bacului"/>
  </r>
  <r>
    <n v="105"/>
    <n v="1979"/>
    <x v="0"/>
    <x v="7"/>
    <s v="Regiunea Centru"/>
    <s v="a) Feminin"/>
    <s v="b) filiera tehnologică (profilurile tehnic, servicii, economic, resurse naturale şi protecţia mediului)"/>
    <s v="a) mediul urban"/>
    <s v="Română economie"/>
    <n v="9"/>
    <s v="e) M-am pregătit constant pe tot parcursul liceului"/>
    <n v="9"/>
    <n v="2"/>
    <n v="9"/>
    <s v="d) Nu, m-am pregătit singur(ă)"/>
    <n v="5"/>
    <s v="e) studii superioare, la peste 5 ani de la absolvirea BAC-lui"/>
    <s v="a) Educație"/>
    <n v="10"/>
    <s v="e) o etapa în care a influențat semnificativ dezvoltarea mea personală (în sens pozitiv)"/>
    <s v="7,51-8,00"/>
    <n v="9"/>
    <s v="A fost un examen pt care m-am pregătit cu seriozitate și l-am promovat "/>
  </r>
  <r>
    <n v="106"/>
    <n v="1979"/>
    <x v="0"/>
    <x v="6"/>
    <s v="Regiunea București-Ilfov"/>
    <s v="a) Feminin"/>
    <s v="c) filiera vocaţională (profilurile militar, teologic, sportiv, artistic şi pedagogic)"/>
    <s v="a) mediul urban"/>
    <s v="Lectie demonstrtiva"/>
    <n v="9"/>
    <s v="e) M-am pregătit constant pe tot parcursul liceului"/>
    <n v="10"/>
    <n v="1"/>
    <n v="10"/>
    <s v="d) Nu, m-am pregătit singur(ă)"/>
    <n v="7"/>
    <s v="e) studii superioare, la peste 5 ani de la absolvirea BAC-lui"/>
    <s v="a) Educație"/>
    <n v="10"/>
    <s v="a) un pas/o etapa normal(ă) în viață, b) un eveniment deosebit, o reușită, o sărbătoare, e) o etapa în care a influențat semnificativ dezvoltarea mea personală (în sens pozitiv)"/>
    <s v="9,51-10"/>
    <n v="10"/>
    <s v="A fost o experienta frumoasa. Deși încă nu implinisem 18 ani, am fost foarte incantata și implicata în acest examen de maturitate. Am învățat mult. Stăteam în cămin. Părinții nu s-au implicat, dar au avut încredere în mine. Nota de la bacaulerat era foarte importanta deoarece în funcție de ea îți luai postul. Cu munca multa am reușit."/>
  </r>
  <r>
    <n v="107"/>
    <n v="1979"/>
    <x v="0"/>
    <x v="5"/>
    <s v="Regiunea Nord-Vest"/>
    <s v="a) Feminin"/>
    <s v="c) filiera vocaţională (profilurile militar, teologic, sportiv, artistic şi pedagogic)"/>
    <s v="a) mediul urban"/>
    <s v="Practica pedagogica"/>
    <n v="7"/>
    <s v="e) M-am pregătit constant pe tot parcursul liceului"/>
    <n v="10"/>
    <n v="10"/>
    <n v="8"/>
    <s v="d) Nu, m-am pregătit singur(ă)"/>
    <n v="8"/>
    <s v="e) studii superioare, la peste 5 ani de la absolvirea BAC-lui"/>
    <s v="a) Educație"/>
    <n v="1"/>
    <s v="a) un pas/o etapa normal(ă) în viață"/>
    <s v="9,01-9,50"/>
    <n v="10"/>
    <s v="Multa pregătire și satisfacție pe măsură muncii "/>
  </r>
  <r>
    <n v="108"/>
    <n v="1979"/>
    <x v="0"/>
    <x v="3"/>
    <s v="Regiunea Sud-Est"/>
    <s v="a) Feminin"/>
    <s v="b) filiera tehnologică (profilurile tehnic, servicii, economic, resurse naturale şi protecţia mediului)"/>
    <s v="a) mediul urban"/>
    <s v="Chimie"/>
    <n v="6"/>
    <s v="d) 12- 24 luni"/>
    <n v="9"/>
    <n v="6"/>
    <n v="9"/>
    <s v="a) Da, la una dintre materii"/>
    <n v="9"/>
    <s v="a) studii superioare, în același an în care am absolvit BAC-ul"/>
    <s v="h) Inginerie, producţie şi construcţii"/>
    <n v="8"/>
    <s v="a) un pas/o etapa normal(ă) în viață"/>
    <s v="7,01-7,50"/>
    <n v="7"/>
    <s v="Seriozitate,  perseverență "/>
  </r>
  <r>
    <n v="109"/>
    <n v="1979"/>
    <x v="0"/>
    <x v="26"/>
    <s v="Regiunea Sud-Vest Oltenia"/>
    <s v="a) Feminin"/>
    <s v="a) filiera teoretică (profilurile umanist şi real)"/>
    <s v="a) mediul urban"/>
    <s v="Nu știu/Nu țin minte"/>
    <n v="8"/>
    <s v="a) sub 3 luni"/>
    <n v="9"/>
    <n v="10"/>
    <n v="10"/>
    <s v="d) Nu, m-am pregătit singur(ă)"/>
    <n v="8"/>
    <s v="a) studii superioare, în același an în care am absolvit BAC-ul"/>
    <s v="b) Arte şi ştiinţe umaniste"/>
    <n v="7"/>
    <s v="a) un pas/o etapa normal(ă) în viață"/>
    <s v="9,51-10"/>
    <n v="10"/>
    <s v="Hotărâre, responsabilitate"/>
  </r>
  <r>
    <n v="110"/>
    <n v="1979"/>
    <x v="0"/>
    <x v="6"/>
    <s v="Regiunea București-Ilfov"/>
    <s v="a) Feminin"/>
    <s v="a) filiera teoretică (profilurile umanist şi real)"/>
    <s v="a) mediul urban"/>
    <s v="Fizică"/>
    <n v="8"/>
    <s v="e) M-am pregătit constant pe tot parcursul liceului"/>
    <n v="10"/>
    <n v="9"/>
    <n v="10"/>
    <s v="d) Nu, m-am pregătit singur(ă)"/>
    <n v="9"/>
    <s v="b) studii superioare, la un an de la absolvire"/>
    <s v="a) Educație"/>
    <n v="10"/>
    <s v="c) o etapă în care a influențat semnificativ viitoarea mea cariera educațională, d) o etapa in care a influențat semnificativ viitoarea mea cariera educațională și profesională;"/>
    <s v="8,01-8,50"/>
    <n v="9"/>
    <s v="Un efort susținut dar a meritat. "/>
  </r>
  <r>
    <n v="111"/>
    <n v="1979"/>
    <x v="0"/>
    <x v="11"/>
    <s v="Regiunea Sud-Vest Oltenia"/>
    <s v="b) Masculin"/>
    <s v="b) filiera tehnologică (profilurile tehnic, servicii, economic, resurse naturale şi protecţia mediului)"/>
    <s v="a) mediul urban"/>
    <s v="Fizică"/>
    <n v="9"/>
    <s v="e) M-am pregătit constant pe tot parcursul liceului"/>
    <n v="10"/>
    <n v="1"/>
    <n v="9"/>
    <s v="d) Nu, m-am pregătit singur(ă)"/>
    <n v="1"/>
    <s v="a) studii superioare, în același an în care am absolvit BAC-ul"/>
    <s v="h) Inginerie, producţie şi construcţii"/>
    <n v="10"/>
    <s v="d) o etapa in care a influențat semnificativ viitoarea mea cariera educațională și profesională;"/>
    <s v="9,51-10"/>
    <n v="10"/>
    <s v="Sustinerea BAC-ului s-a desfasurat intr-o atmosfera relaxata, fireasca, datorita pregatirii anteriore foarte bune. BAC-ul doar a confirmat nivelul pregatirii mele."/>
  </r>
  <r>
    <n v="112"/>
    <n v="1979"/>
    <x v="0"/>
    <x v="18"/>
    <s v="Regiunea Sud-Est"/>
    <s v="a) Feminin"/>
    <s v="b) filiera tehnologică (profilurile tehnic, servicii, economic, resurse naturale şi protecţia mediului)"/>
    <s v="a) mediul urban"/>
    <s v="Economie"/>
    <n v="2"/>
    <s v="e) M-am pregătit constant pe tot parcursul liceului"/>
    <n v="9"/>
    <n v="1"/>
    <n v="2"/>
    <s v="d) Nu, m-am pregătit singur(ă)"/>
    <n v="3"/>
    <s v="e) studii superioare, la peste 5 ani de la absolvirea BAC-lui"/>
    <s v="e) Administraţie şi drept"/>
    <n v="10"/>
    <s v="d) o etapa in care a influențat semnificativ viitoarea mea cariera educațională și profesională;"/>
    <s v="7,51-8,00"/>
    <n v="9"/>
    <s v="Absolvenții de liceu cu diplomă de bacalaureat erau respectați, considerați pregătiți pentru viața, atat pe plan educational cat și profesional și personal. Din aceste motive elevii se simțeau ( în proporție foarte mare) stimulați să învețe, să se pregătească pentru etapa viitoare din viața. Profesorii erau foarte bine pregătiți, predau materiile cu profesionalism dar, mai ales cu pasiune astfel ca noi, elevii plecam din clasă cu lecțiile aproape învățate. Studiul individual și lucrul suplimentar din culegeri ne-au fost de un real sprijin și o reală motivație. Bacalaureatul a fost  (din punctul meu de vedere) ca o valorificare a cunoștințelor acumulate în perioada anilor de liceu, evaluarea performanțelor școlare ale elevilor._x000a_Lipsind mijloacele de comunicare actuale, noi ne completam cunoștințele citind, studiind, cumpărând sau împrumutând cărți între colegi și din biblioteci."/>
  </r>
  <r>
    <n v="113"/>
    <n v="1979"/>
    <x v="0"/>
    <x v="12"/>
    <s v="Regiunea Vest"/>
    <s v="a) Feminin"/>
    <s v="a) filiera teoretică (profilurile umanist şi real)"/>
    <s v="a) mediul urban"/>
    <s v="Biologie"/>
    <n v="8"/>
    <s v="c) 6- 12 luni"/>
    <n v="10"/>
    <n v="9"/>
    <n v="10"/>
    <s v="d) Nu, m-am pregătit singur(ă)"/>
    <n v="5"/>
    <s v="a) studii superioare, în același an în care am absolvit BAC-ul"/>
    <s v="c) Ştiinţe sociale, jurnalism şi informare"/>
    <n v="10"/>
    <s v="a) un pas/o etapa normal(ă) în viață"/>
    <s v="9,51-10"/>
    <n v="9"/>
    <s v="O experienta pozitiva. Mai putin dificil decat ma asteptam. Am regretat doar ca la proba a treia nu am obtinut nota maxima."/>
  </r>
  <r>
    <n v="114"/>
    <n v="1979"/>
    <x v="0"/>
    <x v="31"/>
    <s v="Regiunea Sud-Vest Oltenia"/>
    <s v="b) Masculin"/>
    <s v="a) filiera teoretică (profilurile umanist şi real)"/>
    <s v="a) mediul urban"/>
    <s v="Proiect tehnic"/>
    <n v="7"/>
    <s v="c) 6- 12 luni"/>
    <n v="10"/>
    <n v="10"/>
    <n v="9"/>
    <s v="d) Nu, m-am pregătit singur(ă)"/>
    <n v="7"/>
    <s v="c) studii superioare, la 2-3 ani de la absolvire"/>
    <s v="i) Agricultură, silvicultură, piscicultură şi ştiinţe veterinare"/>
    <n v="9"/>
    <s v="a) un pas/o etapa normal(ă) în viață"/>
    <s v="7,01-7,50"/>
    <n v="7"/>
    <s v="La vârsta de atunci, 18 ani, totul părea simplu și nu m..am implicat asa cum ar fi trebuit în pregătirea pentru acest examen care te urmărește pe tot parcursul vieții "/>
  </r>
  <r>
    <n v="115"/>
    <n v="1979"/>
    <x v="0"/>
    <x v="16"/>
    <s v="Regiunea Vest"/>
    <s v="b) Masculin"/>
    <s v="a) filiera teoretică (profilurile umanist şi real)"/>
    <s v="a) mediul urban"/>
    <s v="Nu a fost cazul"/>
    <n v="3"/>
    <s v="a) sub 3 luni"/>
    <n v="10"/>
    <n v="2"/>
    <n v="10"/>
    <s v="d) Nu, m-am pregătit singur(ă)"/>
    <n v="2"/>
    <s v="a) studii superioare, în același an în care am absolvit BAC-ul"/>
    <s v="h) Inginerie, producţie şi construcţii"/>
    <n v="9"/>
    <s v="a) un pas/o etapa normal(ă) în viață"/>
    <s v="9,01-9,50"/>
    <n v="9"/>
    <s v="Un pas, o etapă necesară, chiar dacă nu foarte dificilă, în pregătirea celui mai important examen: Admiterea la facultate!"/>
  </r>
  <r>
    <n v="116"/>
    <n v="1979"/>
    <x v="0"/>
    <x v="6"/>
    <s v="Regiunea București-Ilfov"/>
    <s v="a) Feminin"/>
    <s v="a) filiera teoretică (profilurile umanist şi real)"/>
    <s v="a) mediul urban"/>
    <s v="Nu știu/Nu țin minte"/>
    <n v="10"/>
    <s v="d) 12- 24 luni"/>
    <n v="10"/>
    <n v="10"/>
    <n v="10"/>
    <s v="a) Da, la una dintre materii"/>
    <n v="10"/>
    <s v="b) studii superioare, la un an de la absolvire"/>
    <s v="h) Inginerie, producţie şi construcţii"/>
    <n v="10"/>
    <s v="a) un pas/o etapa normal(ă) în viață, b) un eveniment deosebit, o reușită, o sărbătoare, d) o etapa in care a influențat semnificativ viitoarea mea cariera educațională și profesională;, e) o etapa în care a influențat semnificativ dezvoltarea mea personală (în sens pozitiv)"/>
    <s v="8,51-9,00"/>
    <n v="10"/>
    <s v="Multă muncă, mult consum emoțional, multă disciplină și bună organizare. În final, după absolvire, o mare satisfacție și bucurie. "/>
  </r>
  <r>
    <n v="117"/>
    <n v="1979"/>
    <x v="0"/>
    <x v="33"/>
    <s v="Regiunea Nord-Vest"/>
    <s v="a) Feminin"/>
    <s v="c) filiera vocaţională (profilurile militar, teologic, sportiv, artistic şi pedagogic)"/>
    <s v="a) mediul urban"/>
    <s v="Nu știu/Nu țin minte"/>
    <n v="8"/>
    <s v="b) 3- 6 luni"/>
    <n v="9"/>
    <n v="10"/>
    <n v="10"/>
    <s v="d) Nu, m-am pregătit singur(ă)"/>
    <n v="5"/>
    <s v="f) studii postliceale / învățământ profesional terțiar"/>
    <s v="bijutier"/>
    <n v="9"/>
    <s v="a) un pas/o etapa normal(ă) în viață"/>
    <s v="8,01-8,50"/>
    <n v="8"/>
    <s v="Placuta."/>
  </r>
  <r>
    <n v="118"/>
    <n v="1979"/>
    <x v="0"/>
    <x v="31"/>
    <s v="Regiunea Sud-Vest Oltenia"/>
    <s v="b) Masculin"/>
    <s v="b) filiera tehnologică (profilurile tehnic, servicii, economic, resurse naturale şi protecţia mediului)"/>
    <s v="a) mediul urban"/>
    <s v="Fizică"/>
    <n v="8"/>
    <s v="e) M-am pregătit constant pe tot parcursul liceului"/>
    <n v="8"/>
    <n v="1"/>
    <n v="9"/>
    <s v="d) Nu, m-am pregătit singur(ă)"/>
    <n v="5"/>
    <s v="a) studii superioare, în același an în care am absolvit BAC-ul"/>
    <s v="f) Ştiinţele naturii, matematică şi statistică"/>
    <n v="2"/>
    <s v="d) o etapa in care a influențat semnificativ viitoarea mea cariera educațională și profesională;"/>
    <s v="8,51-9,00"/>
    <n v="8"/>
    <s v="O situație obișnuită!"/>
  </r>
  <r>
    <n v="119"/>
    <n v="1979"/>
    <x v="0"/>
    <x v="17"/>
    <s v="Regiunea Nord-Vest"/>
    <s v="a) Feminin"/>
    <s v="a) filiera teoretică (profilurile umanist şi real)"/>
    <s v="a) mediul urban"/>
    <s v="Chimie"/>
    <n v="9"/>
    <s v="e) M-am pregătit constant pe tot parcursul liceului"/>
    <n v="10"/>
    <n v="10"/>
    <n v="10"/>
    <s v="d) Nu, m-am pregătit singur(ă)"/>
    <n v="3"/>
    <s v="b) studii superioare, la un an de la absolvire"/>
    <s v="h) Inginerie, producţie şi construcţii"/>
    <n v="10"/>
    <s v="a) un pas/o etapa normal(ă) în viață"/>
    <s v="9,51-10"/>
    <n v="10"/>
    <s v="O pregătire normală, fără probleme !"/>
  </r>
  <r>
    <n v="120"/>
    <n v="1979"/>
    <x v="0"/>
    <x v="7"/>
    <s v="Regiunea Centru"/>
    <s v="a) Feminin"/>
    <s v="a) filiera teoretică (profilurile umanist şi real)"/>
    <s v="a) mediul urban"/>
    <s v="Proiect practic"/>
    <n v="9"/>
    <s v="e) M-am pregătit constant pe tot parcursul liceului"/>
    <n v="10"/>
    <n v="10"/>
    <n v="10"/>
    <s v="d) Nu, m-am pregătit singur(ă)"/>
    <n v="2"/>
    <s v="a) studii superioare, în același an în care am absolvit BAC-ul"/>
    <s v="h) Inginerie, producţie şi construcţii"/>
    <n v="10"/>
    <s v="b) un eveniment deosebit, o reușită, o sărbătoare, d) o etapa in care a influențat semnificativ viitoarea mea cariera educațională și profesională;, e) o etapa în care a influențat semnificativ dezvoltarea mea personală (în sens pozitiv)"/>
    <s v="8,51-9,00"/>
    <n v="10"/>
    <s v="Mi-a făcut plăcere să mă pregătesc în mod special pentru examen"/>
  </r>
  <r>
    <n v="121"/>
    <n v="1979"/>
    <x v="0"/>
    <x v="31"/>
    <s v="Regiunea Sud-Vest Oltenia"/>
    <s v="a) Feminin"/>
    <s v="a) filiera teoretică (profilurile umanist şi real)"/>
    <s v="b) mediul rural"/>
    <s v="Fizică"/>
    <n v="3"/>
    <s v="e) M-am pregătit constant pe tot parcursul liceului"/>
    <n v="10"/>
    <n v="10"/>
    <n v="10"/>
    <s v="d) Nu, m-am pregătit singur(ă)"/>
    <n v="5"/>
    <s v="a) studii superioare, în același an în care am absolvit BAC-ul"/>
    <s v="a) Educație"/>
    <n v="10"/>
    <s v="e) o etapa în care a influențat semnificativ dezvoltarea mea personală (în sens pozitiv)"/>
    <s v="9,51-10"/>
    <n v="10"/>
    <s v="Mi-a oferit o bună cunoaștere a propriei persoane !"/>
  </r>
  <r>
    <n v="122"/>
    <n v="1979"/>
    <x v="0"/>
    <x v="29"/>
    <s v="Regiunea Sud-Muntenia"/>
    <s v="a) Feminin"/>
    <s v="c) filiera vocaţională (profilurile militar, teologic, sportiv, artistic şi pedagogic)"/>
    <s v="a) mediul urban"/>
    <s v="Psihologie"/>
    <n v="9"/>
    <s v="e) M-am pregătit constant pe tot parcursul liceului"/>
    <n v="7"/>
    <n v="9"/>
    <n v="7"/>
    <s v="d) Nu, m-am pregătit singur(ă)"/>
    <n v="9"/>
    <s v="g) Nu am mai urmat alte studii"/>
    <s v="a) Educație"/>
    <n v="10"/>
    <s v="a) un pas/o etapa normal(ă) în viață, d) o etapa in care a influențat semnificativ viitoarea mea cariera educațională și profesională;, e) o etapa în care a influențat semnificativ dezvoltarea mea personală (în sens pozitiv)"/>
    <s v="7,51-8,00"/>
    <n v="9"/>
    <s v="Examenul de bacalaureat m-a făcut mai responsabilă, mai organizată și am învățat să-mi gestionez mai bine emoțiile."/>
  </r>
  <r>
    <n v="123"/>
    <n v="1979"/>
    <x v="0"/>
    <x v="6"/>
    <s v="Regiunea București-Ilfov"/>
    <s v="b) Masculin"/>
    <s v="b) filiera tehnologică (profilurile tehnic, servicii, economic, resurse naturale şi protecţia mediului)"/>
    <s v="a) mediul urban"/>
    <s v="Electronica"/>
    <n v="10"/>
    <s v="c) 6- 12 luni"/>
    <n v="10"/>
    <n v="10"/>
    <n v="10"/>
    <s v="a) Da, la una dintre materii"/>
    <n v="1"/>
    <s v="a) studii superioare, în același an în care am absolvit BAC-ul, e) studii superioare, la peste 5 ani de la absolvirea BAC-lui"/>
    <s v="h) Inginerie, producţie şi construcţii, Informatica"/>
    <n v="10"/>
    <s v="e) o etapa în care a influențat semnificativ dezvoltarea mea personală (în sens pozitiv)"/>
    <s v="8,51-9,00"/>
    <n v="10"/>
    <s v="Pregătirea pentru admitere la facultate mi a facilitat promovarea bacului"/>
  </r>
  <r>
    <n v="124"/>
    <n v="1979"/>
    <x v="0"/>
    <x v="7"/>
    <s v="Regiunea Centru"/>
    <s v="a) Feminin"/>
    <s v="b) filiera tehnologică (profilurile tehnic, servicii, economic, resurse naturale şi protecţia mediului)"/>
    <s v="a) mediul urban"/>
    <s v="Română economie"/>
    <n v="9"/>
    <s v="e) M-am pregătit constant pe tot parcursul liceului"/>
    <n v="9"/>
    <n v="2"/>
    <n v="9"/>
    <s v="d) Nu, m-am pregătit singur(ă)"/>
    <n v="5"/>
    <s v="e) studii superioare, la peste 5 ani de la absolvirea BAC-lui"/>
    <s v="a) Educație"/>
    <n v="10"/>
    <s v="e) o etapa în care a influențat semnificativ dezvoltarea mea personală (în sens pozitiv)"/>
    <s v="7,51-8,00"/>
    <n v="9"/>
    <s v="A fost un examen pt care m-am pregătit cu seriozitate și l-am promovat "/>
  </r>
  <r>
    <n v="125"/>
    <n v="1979"/>
    <x v="0"/>
    <x v="6"/>
    <s v="Regiunea București-Ilfov"/>
    <s v="a) Feminin"/>
    <s v="c) filiera vocaţională (profilurile militar, teologic, sportiv, artistic şi pedagogic)"/>
    <s v="a) mediul urban"/>
    <s v="Lectie demonstrtiva"/>
    <n v="9"/>
    <s v="e) M-am pregătit constant pe tot parcursul liceului"/>
    <n v="10"/>
    <n v="1"/>
    <n v="10"/>
    <s v="d) Nu, m-am pregătit singur(ă)"/>
    <n v="7"/>
    <s v="e) studii superioare, la peste 5 ani de la absolvirea BAC-lui"/>
    <s v="a) Educație"/>
    <n v="10"/>
    <s v="a) un pas/o etapa normal(ă) în viață, b) un eveniment deosebit, o reușită, o sărbătoare, e) o etapa în care a influențat semnificativ dezvoltarea mea personală (în sens pozitiv)"/>
    <s v="9,51-10"/>
    <n v="10"/>
    <s v="A fost o experienta frumoasa. Deși încă nu implinisem 18 ani, am fost foarte incantata și implicata în acest examen de maturitate. Am învățat mult. Stăteam în cămin. Părinții nu s-au implicat, dar au avut încredere în mine. Nota de la bacaulerat era foarte importanta deoarece în funcție de ea îți luai postul. Cu munca multa am reușit."/>
  </r>
  <r>
    <n v="126"/>
    <n v="1979"/>
    <x v="0"/>
    <x v="5"/>
    <s v="Regiunea Nord-Vest"/>
    <s v="a) Feminin"/>
    <s v="c) filiera vocaţională (profilurile militar, teologic, sportiv, artistic şi pedagogic)"/>
    <s v="a) mediul urban"/>
    <s v="Practica pedagogica"/>
    <n v="7"/>
    <s v="e) M-am pregătit constant pe tot parcursul liceului"/>
    <n v="10"/>
    <n v="10"/>
    <n v="8"/>
    <s v="d) Nu, m-am pregătit singur(ă)"/>
    <n v="8"/>
    <s v="e) studii superioare, la peste 5 ani de la absolvirea BAC-lui"/>
    <s v="a) Educație"/>
    <n v="1"/>
    <s v="a) un pas/o etapa normal(ă) în viață"/>
    <s v="9,01-9,50"/>
    <n v="10"/>
    <s v="Multa pregătire și satisfacție pe măsură muncii "/>
  </r>
  <r>
    <n v="127"/>
    <n v="1979"/>
    <x v="0"/>
    <x v="3"/>
    <s v="Regiunea Sud-Est"/>
    <s v="a) Feminin"/>
    <s v="b) filiera tehnologică (profilurile tehnic, servicii, economic, resurse naturale şi protecţia mediului)"/>
    <s v="a) mediul urban"/>
    <s v="Chimie"/>
    <n v="6"/>
    <s v="d) 12- 24 luni"/>
    <n v="9"/>
    <n v="6"/>
    <n v="9"/>
    <s v="a) Da, la una dintre materii"/>
    <n v="9"/>
    <s v="a) studii superioare, în același an în care am absolvit BAC-ul"/>
    <s v="h) Inginerie, producţie şi construcţii"/>
    <n v="8"/>
    <s v="a) un pas/o etapa normal(ă) în viață"/>
    <s v="7,01-7,50"/>
    <n v="7"/>
    <s v="Seriozitate,  perseverență "/>
  </r>
  <r>
    <n v="128"/>
    <n v="1979"/>
    <x v="0"/>
    <x v="26"/>
    <s v="Regiunea Sud-Vest Oltenia"/>
    <s v="a) Feminin"/>
    <s v="a) filiera teoretică (profilurile umanist şi real)"/>
    <s v="a) mediul urban"/>
    <s v="Nu știu/Nu țin minte"/>
    <n v="8"/>
    <s v="a) sub 3 luni"/>
    <n v="9"/>
    <n v="10"/>
    <n v="10"/>
    <s v="d) Nu, m-am pregătit singur(ă)"/>
    <n v="8"/>
    <s v="a) studii superioare, în același an în care am absolvit BAC-ul"/>
    <s v="b) Arte şi ştiinţe umaniste"/>
    <n v="7"/>
    <s v="a) un pas/o etapa normal(ă) în viață"/>
    <s v="9,51-10"/>
    <n v="10"/>
    <s v="Hotărâre, responsabilitate"/>
  </r>
  <r>
    <n v="129"/>
    <n v="1979"/>
    <x v="0"/>
    <x v="6"/>
    <s v="Regiunea București-Ilfov"/>
    <s v="a) Feminin"/>
    <s v="a) filiera teoretică (profilurile umanist şi real)"/>
    <s v="a) mediul urban"/>
    <s v="Fizică"/>
    <n v="8"/>
    <s v="e) M-am pregătit constant pe tot parcursul liceului"/>
    <n v="10"/>
    <n v="9"/>
    <n v="10"/>
    <s v="d) Nu, m-am pregătit singur(ă)"/>
    <n v="9"/>
    <s v="b) studii superioare, la un an de la absolvire"/>
    <s v="a) Educație"/>
    <n v="10"/>
    <s v="c) o etapă în care a influențat semnificativ viitoarea mea cariera educațională, d) o etapa in care a influențat semnificativ viitoarea mea cariera educațională și profesională;"/>
    <s v="8,01-8,50"/>
    <n v="9"/>
    <s v="Un efort susținut dar a meritat. "/>
  </r>
  <r>
    <n v="130"/>
    <n v="1979"/>
    <x v="0"/>
    <x v="11"/>
    <s v="Regiunea Sud-Vest Oltenia"/>
    <s v="b) Masculin"/>
    <s v="b) filiera tehnologică (profilurile tehnic, servicii, economic, resurse naturale şi protecţia mediului)"/>
    <s v="a) mediul urban"/>
    <s v="Fizică"/>
    <n v="9"/>
    <s v="e) M-am pregătit constant pe tot parcursul liceului"/>
    <n v="10"/>
    <n v="1"/>
    <n v="9"/>
    <s v="d) Nu, m-am pregătit singur(ă)"/>
    <n v="1"/>
    <s v="a) studii superioare, în același an în care am absolvit BAC-ul"/>
    <s v="h) Inginerie, producţie şi construcţii"/>
    <n v="10"/>
    <s v="d) o etapa in care a influențat semnificativ viitoarea mea cariera educațională și profesională;"/>
    <s v="9,51-10"/>
    <n v="10"/>
    <s v="Sustinerea BAC-ului s-a desfasurat intr-o atmosfera relaxata, fireasca, datorita pregatirii anteriore foarte bune. BAC-ul doar a confirmat nivelul pregatirii mele."/>
  </r>
  <r>
    <n v="131"/>
    <n v="1979"/>
    <x v="0"/>
    <x v="17"/>
    <s v="Regiunea Nord-Vest"/>
    <s v="a) Feminin"/>
    <s v="a) filiera teoretică (profilurile umanist şi real)"/>
    <s v="a) mediul urban"/>
    <s v="Chimie"/>
    <n v="1"/>
    <s v="e) M-am pregătit constant pe tot parcursul liceului"/>
    <n v="10"/>
    <n v="1"/>
    <n v="10"/>
    <s v="d) Nu, m-am pregătit singur(ă)"/>
    <n v="1"/>
    <s v="b) studii superioare, la un an de la absolvire"/>
    <s v="h) Inginerie, producţie şi construcţii"/>
    <n v="1"/>
    <s v="a) un pas/o etapa normal(ă) în viață"/>
    <s v="9,01-9,50"/>
    <n v="10"/>
    <s v="Normalitate, fără nu se putea accede la o facultate; indiferent de opțiuni ( studii superioare sau nu ), nu se punea problema nepromovarii sau neprezentarii la ex de bacalaureat !!!"/>
  </r>
  <r>
    <n v="132"/>
    <n v="1979"/>
    <x v="0"/>
    <x v="19"/>
    <s v="Regiunea Centru"/>
    <s v="b) Masculin"/>
    <s v="c) filiera vocaţională (profilurile militar, teologic, sportiv, artistic şi pedagogic)"/>
    <s v="a) mediul urban"/>
    <s v="pregatire militara"/>
    <n v="7"/>
    <s v="e) M-am pregătit constant pe tot parcursul liceului"/>
    <n v="9"/>
    <n v="1"/>
    <n v="9"/>
    <s v="d) Nu, m-am pregătit singur(ă)"/>
    <n v="2"/>
    <s v="e) studii superioare, la peste 5 ani de la absolvirea BAC-lui"/>
    <s v="f) Ştiinţele naturii, matematică şi statistică"/>
    <n v="1"/>
    <s v="a) un pas/o etapa normal(ă) în viață"/>
    <s v="9,51-10"/>
    <n v="10"/>
    <s v="al doilea examen din viata mea,pregatit pe parcursul ultimului an de liceu,sustinere fara emotii,nota 10 la final."/>
  </r>
  <r>
    <n v="133"/>
    <n v="1979"/>
    <x v="0"/>
    <x v="6"/>
    <s v="Regiunea București-Ilfov"/>
    <s v="a) Feminin"/>
    <s v="a) filiera teoretică (profilurile umanist şi real)"/>
    <s v="a) mediul urban"/>
    <s v="Nu a fost cazul"/>
    <n v="9"/>
    <s v="c) 6- 12 luni"/>
    <n v="9"/>
    <n v="10"/>
    <n v="9"/>
    <s v="a) Da, la una dintre materii"/>
    <n v="6"/>
    <s v="a) studii superioare, în același an în care am absolvit BAC-ul"/>
    <s v="f) Ştiinţele naturii, matematică şi statistică"/>
    <n v="10"/>
    <s v="a) un pas/o etapa normal(ă) în viață, d) o etapa in care a influențat semnificativ viitoarea mea cariera educațională și profesională;"/>
    <s v="8,01-8,50"/>
    <n v="8"/>
    <s v="Perseverenta "/>
  </r>
  <r>
    <n v="134"/>
    <n v="1979"/>
    <x v="0"/>
    <x v="3"/>
    <s v="Regiunea Sud-Est"/>
    <s v="a) Feminin"/>
    <s v="a) filiera teoretică (profilurile umanist şi real)"/>
    <s v="a) mediul urban"/>
    <s v="Nu a fost cazul"/>
    <n v="7"/>
    <s v="e) M-am pregătit constant pe tot parcursul liceului"/>
    <n v="8"/>
    <n v="8"/>
    <n v="7"/>
    <s v="d) Nu, m-am pregătit singur(ă)"/>
    <n v="9"/>
    <s v="b) studii superioare, la un an de la absolvire"/>
    <s v="a) Educație, "/>
    <n v="10"/>
    <s v="a) un pas/o etapa normal(ă) în viață"/>
    <s v="8,51-9,00"/>
    <n v="8"/>
    <s v="Având în vedere faptul că am terminat un profil umanist, nu pot spune că am fost prea stresata"/>
  </r>
  <r>
    <n v="135"/>
    <n v="1979"/>
    <x v="0"/>
    <x v="10"/>
    <s v="Regiunea Sud-Muntenia"/>
    <s v="a) Feminin"/>
    <s v="a) filiera teoretică (profilurile umanist şi real)"/>
    <s v="a) mediul urban"/>
    <s v="Lucrare practică"/>
    <n v="8"/>
    <s v="e) M-am pregătit constant pe tot parcursul liceului"/>
    <n v="10"/>
    <n v="10"/>
    <n v="10"/>
    <s v="d) Nu, m-am pregătit singur(ă)"/>
    <n v="8"/>
    <s v="a) studii superioare, în același an în care am absolvit BAC-ul"/>
    <s v="a) Educație"/>
    <n v="10"/>
    <s v="a) un pas/o etapa normal(ă) în viață, d) o etapa in care a influențat semnificativ viitoarea mea cariera educațională și profesională;"/>
    <s v="9,51-10"/>
    <n v="10"/>
    <s v="Multă concentrare, seriozitate, emoții doar pentru note, nu pentru promovare, aceasta fiind absolut sigură, dat fiind faptul că am învățat constant pe tot parcursul cursurilor liceale."/>
  </r>
  <r>
    <n v="136"/>
    <n v="1979"/>
    <x v="0"/>
    <x v="6"/>
    <s v="Regiunea București-Ilfov"/>
    <s v="b) Masculin"/>
    <s v="c) filiera vocaţională (profilurile militar, teologic, sportiv, artistic şi pedagogic)"/>
    <s v="a) mediul urban"/>
    <s v="Proba practica"/>
    <n v="9"/>
    <s v="e) M-am pregătit constant pe tot parcursul liceului"/>
    <n v="10"/>
    <n v="6"/>
    <n v="9"/>
    <s v="d) Nu, m-am pregătit singur(ă)"/>
    <n v="10"/>
    <s v="e) studii superioare, la peste 5 ani de la absolvirea BAC-lui"/>
    <s v="a) Educație"/>
    <n v="10"/>
    <s v="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9"/>
    <s v="Stresantă"/>
  </r>
  <r>
    <n v="137"/>
    <n v="1979"/>
    <x v="0"/>
    <x v="29"/>
    <s v="Regiunea Sud-Muntenia"/>
    <s v="b) Masculin"/>
    <s v="a) filiera teoretică (profilurile umanist şi real)"/>
    <s v="a) mediul urban"/>
    <s v="Probă practică"/>
    <n v="8"/>
    <s v="c) 6- 12 luni"/>
    <n v="9"/>
    <n v="8"/>
    <n v="10"/>
    <s v="d) Nu, m-am pregătit singur(ă)"/>
    <n v="5"/>
    <s v="b) studii superioare, la un an de la absolvire"/>
    <s v="h) Inginerie, producţie şi construcţii"/>
    <n v="10"/>
    <s v="d) o etapa in care a influențat semnificativ viitoarea mea cariera educațională și profesională;"/>
    <s v="8,51-9,00"/>
    <n v="10"/>
    <s v="Am dat o foarte mare importanță absolvirii examenului de bacalaureat întrucât era o condiție obligatorie în continuarea studiilor superioare."/>
  </r>
  <r>
    <n v="138"/>
    <n v="1979"/>
    <x v="0"/>
    <x v="29"/>
    <s v="Regiunea Sud-Muntenia"/>
    <s v="a) Feminin"/>
    <s v="a) filiera teoretică (profilurile umanist şi real)"/>
    <s v="a) mediul urban"/>
    <s v="Fizică"/>
    <n v="9"/>
    <s v="e) M-am pregătit constant pe tot parcursul liceului"/>
    <n v="8"/>
    <n v="10"/>
    <n v="8"/>
    <s v="d) Nu, m-am pregătit singur(ă)"/>
    <n v="9"/>
    <s v="a) studii superioare, în același an în care am absolvit BAC-ul"/>
    <s v="h) Inginerie, producţie şi construcţii"/>
    <n v="10"/>
    <s v="a) un pas/o etapa normal(ă) în viață"/>
    <s v="9,51-10"/>
    <n v="10"/>
    <s v="Bacalaureatului fost un examen pe care l.am dat pentru ca sa pot urma ulterior o facultate"/>
  </r>
  <r>
    <n v="139"/>
    <n v="1979"/>
    <x v="0"/>
    <x v="29"/>
    <s v="Regiunea Sud-Muntenia"/>
    <s v="a) Feminin"/>
    <s v="c) filiera vocaţională (profilurile militar, teologic, sportiv, artistic şi pedagogic)"/>
    <s v="a) mediul urban"/>
    <s v="Psihologie"/>
    <n v="5"/>
    <s v="e) M-am pregătit constant pe tot parcursul liceului"/>
    <n v="9"/>
    <n v="10"/>
    <n v="9"/>
    <s v="d) Nu, m-am pregătit singur(ă)"/>
    <n v="8"/>
    <s v="k) studii de formare continuă a adulților"/>
    <s v="a) Educație"/>
    <n v="10"/>
    <s v="d) o etapa in care a influențat semnificativ viitoarea mea cariera educațională și profesională;"/>
    <s v="7,51-8,00"/>
    <n v="8"/>
    <s v="Viitorul"/>
  </r>
  <r>
    <n v="140"/>
    <n v="1979"/>
    <x v="0"/>
    <x v="10"/>
    <s v="Regiunea Sud-Muntenia"/>
    <s v="a) Feminin"/>
    <s v="b) filiera tehnologică (profilurile tehnic, servicii, economic, resurse naturale şi protecţia mediului)"/>
    <s v="a) mediul urban"/>
    <s v="Lucrare de diplomă din materia de specialitate "/>
    <n v="5"/>
    <s v="e) M-am pregătit constant pe tot parcursul liceului"/>
    <n v="10"/>
    <n v="1"/>
    <n v="5"/>
    <s v="d) Nu, m-am pregătit singur(ă)"/>
    <n v="4"/>
    <s v="c) studii superioare, la 2-3 ani de la absolvire"/>
    <s v="a) Educație, e) Administraţie şi drept"/>
    <n v="4"/>
    <s v="a) un pas/o etapa normal(ă) în viață"/>
    <s v="9,01-9,50"/>
    <n v="10"/>
    <s v="A fost  un examen  de dificultate medie ,cu itemi de tip reproducere din materia studiată  în anii de liceu ( Limba română și Anatomia și fiziologia omului )"/>
  </r>
  <r>
    <n v="141"/>
    <n v="1979"/>
    <x v="0"/>
    <x v="15"/>
    <s v="Regiunea Centru"/>
    <s v="a) Feminin"/>
    <s v="b) filiera tehnologică (profilurile tehnic, servicii, economic, resurse naturale şi protecţia mediului)"/>
    <s v="a) mediul urban"/>
    <s v="Nu a fost cazul"/>
    <n v="10"/>
    <s v="e) M-am pregătit constant pe tot parcursul liceului"/>
    <n v="8"/>
    <n v="10"/>
    <n v="8"/>
    <s v="d) Nu, m-am pregătit singur(ă)"/>
    <n v="10"/>
    <s v="k) studii de formare continuă a adulților"/>
    <s v="g) Tehnologia informaţiei şi a comunicaţiilor"/>
    <n v="8"/>
    <s v="a) un pas/o etapa normal(ă) în viață"/>
    <s v="8,01-8,50"/>
    <n v="8"/>
    <s v="Munca si efort, responsabilitate etc."/>
  </r>
  <r>
    <n v="142"/>
    <n v="1979"/>
    <x v="0"/>
    <x v="1"/>
    <s v="Regiunea Sud-Est"/>
    <s v="a) Feminin"/>
    <s v="a) filiera teoretică (profilurile umanist şi real)"/>
    <s v="a) mediul urban"/>
    <s v="Fizică"/>
    <n v="8"/>
    <s v="e) M-am pregătit constant pe tot parcursul liceului"/>
    <n v="9"/>
    <n v="10"/>
    <n v="9"/>
    <s v="d) Nu, m-am pregătit singur(ă)"/>
    <n v="9"/>
    <s v="a) studii superioare, în același an în care am absolvit BAC-ul"/>
    <s v="d) Științe Economice"/>
    <n v="10"/>
    <s v="a) un pas/o etapa normal(ă) în viață"/>
    <s v="9,51-10"/>
    <n v="10"/>
    <s v="O experiență pentru deschiderea unui nou drum în viata "/>
  </r>
  <r>
    <n v="143"/>
    <n v="1979"/>
    <x v="0"/>
    <x v="12"/>
    <s v="Regiunea Vest"/>
    <s v="b) Masculin"/>
    <s v="a) filiera teoretică (profilurile umanist şi real)"/>
    <s v="b) mediul rural"/>
    <s v="Informatică"/>
    <n v="7"/>
    <s v="a) sub 3 luni"/>
    <n v="10"/>
    <n v="1"/>
    <n v="1"/>
    <s v="d) Nu, m-am pregătit singur(ă)"/>
    <n v="4"/>
    <s v="a) studii superioare, în același an în care am absolvit BAC-ul"/>
    <s v="g) Tehnologia informaţiei şi a comunicaţiilor"/>
    <n v="6"/>
    <s v="a) un pas/o etapa normal(ă) în viață"/>
    <s v="8,01-8,50"/>
    <n v="7"/>
    <s v="normala"/>
  </r>
  <r>
    <n v="144"/>
    <n v="1979"/>
    <x v="0"/>
    <x v="25"/>
    <s v="Regiunea Sud-Muntenia"/>
    <s v="b) Masculin"/>
    <s v="b) filiera tehnologică (profilurile tehnic, servicii, economic, resurse naturale şi protecţia mediului)"/>
    <s v="a) mediul urban"/>
    <s v="Matematică, Limba și literatura română "/>
    <n v="8"/>
    <s v="b) 3- 6 luni"/>
    <n v="8"/>
    <n v="7"/>
    <n v="8"/>
    <s v="d) Nu, m-am pregătit singur(ă)"/>
    <n v="7"/>
    <s v="c) studii superioare, la 2-3 ani de la absolvire"/>
    <s v="a) Educație"/>
    <n v="5"/>
    <s v="a) un pas/o etapa normal(ă) în viață"/>
    <s v="8,01-8,50"/>
    <n v="8"/>
    <s v="Am realizat că prin muncă pot obține ce mi-am propus"/>
  </r>
  <r>
    <n v="145"/>
    <n v="1979"/>
    <x v="0"/>
    <x v="34"/>
    <s v="Regiunea Nord-Est"/>
    <s v="a) Feminin"/>
    <s v="b) filiera tehnologică (profilurile tehnic, servicii, economic, resurse naturale şi protecţia mediului)"/>
    <s v="a) mediul urban"/>
    <s v="Economie"/>
    <n v="8"/>
    <s v="e) M-am pregătit constant pe tot parcursul liceului"/>
    <n v="9"/>
    <n v="10"/>
    <n v="10"/>
    <s v="a) Da, la una dintre materii"/>
    <n v="8"/>
    <s v="a) studii superioare, în același an în care am absolvit BAC-ul"/>
    <s v="d) Științe Economice"/>
    <n v="10"/>
    <s v="a) un pas/o etapa normal(ă) în viață"/>
    <s v="9,51-10"/>
    <n v="10"/>
    <s v="Examen normal, pregătit cu responsabilitate pentru că urma și examenul de admitere la facultate."/>
  </r>
  <r>
    <n v="146"/>
    <n v="1979"/>
    <x v="0"/>
    <x v="18"/>
    <s v="Regiunea Sud-Est"/>
    <s v="b) Masculin"/>
    <s v="a) filiera teoretică (profilurile umanist şi real)"/>
    <s v="b) mediul rural"/>
    <s v="Fizică"/>
    <n v="9"/>
    <s v="c) 6- 12 luni"/>
    <n v="9"/>
    <n v="9"/>
    <n v="9"/>
    <s v="a) Da, la una dintre materii"/>
    <n v="8"/>
    <s v="a) studii superioare, în același an în care am absolvit BAC-ul"/>
    <s v="a) Educație, h) Inginerie, producţie şi construcţii"/>
    <n v="10"/>
    <s v="a) un pas/o etapa normal(ă) în viață"/>
    <s v="9,51-10"/>
    <n v="9"/>
    <s v="Un câștig mare "/>
  </r>
  <r>
    <n v="147"/>
    <n v="1979"/>
    <x v="0"/>
    <x v="18"/>
    <s v="Regiunea Sud-Est"/>
    <s v="a) Feminin"/>
    <s v="a) filiera teoretică (profilurile umanist şi real)"/>
    <s v="a) mediul urban"/>
    <s v="Mate, romana, fizica"/>
    <n v="7"/>
    <s v="e) M-am pregătit constant pe tot parcursul liceului"/>
    <n v="10"/>
    <n v="8"/>
    <n v="10"/>
    <s v="d) Nu, m-am pregătit singur(ă)"/>
    <n v="8"/>
    <s v="a) studii superioare, în același an în care am absolvit BAC-ul"/>
    <s v="j) Sănătate şi asistenţă socială"/>
    <n v="5"/>
    <s v="c) o etapă în care a influențat semnificativ viitoarea mea cariera educațională"/>
    <s v="9,51-10"/>
    <n v="10"/>
    <s v="Nu imi amintesc, dar nu cred ca a fost un stres, admiterea la fscultate era piatra de incercare."/>
  </r>
  <r>
    <n v="148"/>
    <n v="1979"/>
    <x v="0"/>
    <x v="35"/>
    <s v="Regiunea Centru"/>
    <s v="a) Feminin"/>
    <s v="d) Licee industriale"/>
    <s v="a) mediul urban"/>
    <s v="Nu a fost cazul"/>
    <n v="7"/>
    <s v="e) M-am pregătit constant pe tot parcursul liceului"/>
    <n v="7"/>
    <n v="8"/>
    <n v="10"/>
    <s v="c) Da, la toate materiile"/>
    <n v="10"/>
    <s v="g) Nu am mai urmat alte studii"/>
    <s v="j) Sănătate şi asistenţă socială"/>
    <n v="8"/>
    <s v="a) un pas/o etapa normal(ă) în viață"/>
    <s v="7,51-8,00"/>
    <n v="7"/>
    <s v="Nimic"/>
  </r>
  <r>
    <n v="149"/>
    <n v="1979"/>
    <x v="0"/>
    <x v="6"/>
    <s v="Regiunea București-Ilfov"/>
    <s v="a) Feminin"/>
    <s v="a) filiera teoretică (profilurile umanist şi real)"/>
    <s v="b) mediul rural"/>
    <s v="Practica "/>
    <n v="6"/>
    <s v="e) M-am pregătit constant pe tot parcursul liceului"/>
    <n v="9"/>
    <n v="6"/>
    <n v="10"/>
    <s v="d) Nu, m-am pregătit singur(ă)"/>
    <n v="7"/>
    <s v="a) studii superioare, în același an în care am absolvit BAC-ul"/>
    <s v="a) Educație"/>
    <n v="10"/>
    <s v="a) un pas/o etapa normal(ă) în viață"/>
    <s v="9,51-10"/>
    <n v="10"/>
    <s v="Frumoasă "/>
  </r>
  <r>
    <n v="150"/>
    <n v="1979"/>
    <x v="0"/>
    <x v="6"/>
    <s v="Regiunea București-Ilfov"/>
    <s v="a) Feminin"/>
    <s v="a) filiera teoretică (profilurile umanist şi real)"/>
    <s v="a) mediul urban"/>
    <s v="Nu știu/Nu țin minte"/>
    <n v="8"/>
    <s v="e) M-am pregătit constant pe tot parcursul liceului"/>
    <n v="8"/>
    <n v="8"/>
    <n v="6"/>
    <s v="d) Nu, m-am pregătit singur(ă)"/>
    <n v="8"/>
    <s v="c) studii superioare, la 2-3 ani de la absolvire"/>
    <s v="Arte plastice"/>
    <n v="8"/>
    <s v="a) un pas/o etapa normal(ă) în viață"/>
    <s v="9,01-9,50"/>
    <n v="9"/>
    <s v="M-am pregatit, am sustinut, la momentul respectiv nu se punea accent deosebit pe BAC, mediile nu contau pt periosada urmatoare de studii."/>
  </r>
  <r>
    <n v="151"/>
    <n v="1979"/>
    <x v="0"/>
    <x v="36"/>
    <s v="Regiunea Nord-Vest"/>
    <s v="a) Feminin"/>
    <s v="a) filiera teoretică (profilurile umanist şi real)"/>
    <s v="a) mediul urban"/>
    <s v="Lucrari practice: Stenodactilografie"/>
    <n v="9"/>
    <s v="e) M-am pregătit constant pe tot parcursul liceului"/>
    <n v="9"/>
    <n v="10"/>
    <n v="1"/>
    <s v="d) Nu, m-am pregătit singur(ă)"/>
    <n v="8"/>
    <s v="d) studii superioare, la 3-5 ani de la absolvire"/>
    <s v="b) Arte şi ştiinţe umaniste"/>
    <n v="8"/>
    <s v="a) un pas/o etapa normal(ă) în viață, b) un eveniment deosebit, o reușită, o sărbătoare"/>
    <s v="8,51-9,00"/>
    <n v="7"/>
    <s v="O experienta pe care mi- am dorit- o, deoarece era conditia sine qua non pentru continuarea studiilor. Imi placea ideea ca e un examen greu, deoarece imi place sa ma provoc, sa fiu performanta._x000a_Dar, nu mi- au placut deloc cateva aspecte:_x000a_1. Ca sarcinile de lucru/ intrebarile se adresau exclusiv memoriei. Ceea ce conta era memorarea a cat mai multe informatii, iar pe interpretare, opinie petsonala, intelegerea conexiunilor intre fapte si evenimente nu doar ca nu se punea accent, ci, chiar ersu &quot; retezate din scurt&quot;!_x000a_2. Atitudinea rigida a profesorilor evaluatori la examenele orale._x000a_3. Absenta unei pregatiri in liceu dedicata strict examenului de bacalaureat ( emotionale si de specialitate pentru examen)."/>
  </r>
  <r>
    <n v="152"/>
    <n v="1980"/>
    <x v="0"/>
    <x v="8"/>
    <s v="Regiunea Nord-Est"/>
    <s v="b) Masculin"/>
    <s v="b) filiera tehnologică (profilurile tehnic, servicii, economic, resurse naturale şi protecţia mediului)"/>
    <s v="a) mediul urban"/>
    <s v="Fizică"/>
    <n v="7"/>
    <s v="a) sub 3 luni"/>
    <n v="6"/>
    <n v="6"/>
    <n v="7"/>
    <s v="d) Nu, m-am pregătit singur(ă)"/>
    <n v="3"/>
    <s v="d) studii superioare, la 3-5 ani de la absolvire"/>
    <s v="a) Educație, b) Arte şi ştiinţe umaniste"/>
    <n v="3"/>
    <s v="a) un pas/o etapa normal(ă) în viață"/>
    <s v="7,01-7,50"/>
    <n v="6"/>
    <s v="Un pas normal pentru studii superioare "/>
  </r>
  <r>
    <n v="153"/>
    <n v="1980"/>
    <x v="0"/>
    <x v="18"/>
    <s v="Regiunea Sud-Est"/>
    <s v="b) Masculin"/>
    <s v="b) filiera tehnologică (profilurile tehnic, servicii, economic, resurse naturale şi protecţia mediului)"/>
    <s v="a) mediul urban"/>
    <s v="Nu știu/Nu țin minte"/>
    <n v="9"/>
    <s v="b) 3- 6 luni"/>
    <n v="9"/>
    <n v="6"/>
    <n v="6"/>
    <s v="d) Nu, m-am pregătit singur(ă)"/>
    <n v="6"/>
    <s v="a) studii superioare, în același an în care am absolvit BAC-ul"/>
    <s v="h) Inginerie, producţie şi construcţii"/>
    <n v="9"/>
    <s v="c) o etapă în care a influențat semnificativ viitoarea mea cariera educațională"/>
    <s v="9,01-9,50"/>
    <n v="9"/>
    <s v="Constructiv, acumulare cunoștințe în viața profesională "/>
  </r>
  <r>
    <n v="154"/>
    <n v="1980"/>
    <x v="0"/>
    <x v="6"/>
    <s v="Regiunea București-Ilfov"/>
    <s v="a) Feminin"/>
    <s v="b) filiera tehnologică (profilurile tehnic, servicii, economic, resurse naturale şi protecţia mediului)"/>
    <s v="a) mediul urban"/>
    <s v="Nu știu/Nu țin minte"/>
    <n v="9"/>
    <s v="d) 12- 24 luni"/>
    <n v="10"/>
    <n v="10"/>
    <n v="8"/>
    <s v="d) Nu, m-am pregătit singur(ă)"/>
    <n v="9"/>
    <s v="e) studii superioare, la peste 5 ani de la absolvirea BAC-lui"/>
    <s v="d) Științe Economice"/>
    <n v="10"/>
    <s v="e) o etapa în care a influențat semnificativ dezvoltarea mea personală (în sens pozitiv)"/>
    <s v="9,01-9,50"/>
    <n v="9"/>
    <s v="Cu responsabilitate"/>
  </r>
  <r>
    <n v="155"/>
    <n v="1980"/>
    <x v="0"/>
    <x v="18"/>
    <s v="Regiunea Sud-Est"/>
    <s v="b) Masculin"/>
    <s v="a) filiera teoretică (profilurile umanist şi real)"/>
    <s v="a) mediul urban"/>
    <s v="Chimie"/>
    <n v="8"/>
    <s v="c) 6- 12 luni"/>
    <n v="8"/>
    <n v="10"/>
    <n v="8"/>
    <s v="d) Nu, m-am pregătit singur(ă)"/>
    <n v="8"/>
    <s v="b) studii superioare, la un an de la absolvire"/>
    <s v="j) Sănătate şi asistenţă socială"/>
    <n v="10"/>
    <s v="c) o etapă în care a influențat semnificativ viitoarea mea cariera educațională, d) o etapa in care a influențat semnificativ viitoarea mea cariera educațională și profesională;, e) o etapa în care a influențat semnificativ dezvoltarea mea personală (în sens pozitiv)"/>
    <s v="8,51-9,00"/>
    <n v="9"/>
    <s v="Perseverenta"/>
  </r>
  <r>
    <n v="156"/>
    <n v="1991"/>
    <x v="1"/>
    <x v="0"/>
    <s v="Regiunea Nord-Est"/>
    <s v="a) Feminin"/>
    <s v="b) filiera tehnologică (profilurile tehnic, servicii, economic, resurse naturale şi protecţia mediului)"/>
    <s v="a) mediul urban"/>
    <s v="Fizică"/>
    <n v="9"/>
    <s v="e) M-am pregătit constant pe tot parcursul liceului"/>
    <n v="7"/>
    <n v="10"/>
    <n v="8"/>
    <s v="d) Nu, m-am pregătit singur(ă)"/>
    <n v="10"/>
    <s v="c) studii superioare, la 2-3 ani de la absolvire"/>
    <s v="a) Educație, e) Administraţie şi drept"/>
    <n v="10"/>
    <s v="a) un pas/o etapa normal(ă) în viață"/>
    <s v="8,01-8,50"/>
    <n v="7"/>
    <s v="O perioadă stresantă ,dar absolut necesară"/>
  </r>
  <r>
    <n v="157"/>
    <n v="1993"/>
    <x v="1"/>
    <x v="0"/>
    <s v="Regiunea Nord-Est"/>
    <s v="a) Feminin"/>
    <s v="b) filiera tehnologică (profilurile tehnic, servicii, economic, resurse naturale şi protecţia mediului)"/>
    <s v="a) mediul urban"/>
    <s v="Economie"/>
    <n v="8"/>
    <s v="c) 6- 12 luni"/>
    <n v="4"/>
    <n v="9"/>
    <n v="3"/>
    <s v="b) Da, la mai multe materii"/>
    <n v="9"/>
    <s v="a) studii superioare, în același an în care am absolvit BAC-ul"/>
    <s v="a) Educație"/>
    <n v="1"/>
    <s v="a) un pas/o etapa normal(ă) în viață"/>
    <s v="8,51-9,00"/>
    <n v="7"/>
    <s v="Stresantă "/>
  </r>
  <r>
    <n v="158"/>
    <n v="1993"/>
    <x v="1"/>
    <x v="6"/>
    <s v="Regiunea București-Ilfov"/>
    <s v="a) Feminin"/>
    <s v="a) filiera teoretică (profilurile umanist şi real)"/>
    <s v="a) mediul urban"/>
    <s v="Astronomie"/>
    <n v="8"/>
    <s v="e) M-am pregătit constant pe tot parcursul liceului"/>
    <n v="8"/>
    <n v="10"/>
    <n v="8"/>
    <s v="d) Nu, m-am pregătit singur(ă)"/>
    <n v="10"/>
    <s v="a) studii superioare, în același an în care am absolvit BAC-ul"/>
    <s v="h) Inginerie, producţie şi construcţii"/>
    <n v="10"/>
    <s v="a) un pas/o etapa normal(ă) în viață"/>
    <s v="9,51-10"/>
    <n v="9"/>
    <s v="Buna"/>
  </r>
  <r>
    <n v="159"/>
    <n v="1993"/>
    <x v="1"/>
    <x v="9"/>
    <s v="Regiunea Sud-Est"/>
    <s v="b) Masculin"/>
    <s v="b) filiera tehnologică (profilurile tehnic, servicii, economic, resurse naturale şi protecţia mediului)"/>
    <s v="a) mediul urban"/>
    <s v="Nu știu/Nu țin minte"/>
    <n v="9"/>
    <s v="a) sub 3 luni"/>
    <n v="6"/>
    <n v="5"/>
    <n v="6"/>
    <s v="d) Nu, m-am pregătit singur(ă)"/>
    <n v="6"/>
    <s v="f) studii postliceale / învățământ profesional terțiar"/>
    <s v="Ordine publică și Siguranța national"/>
    <n v="10"/>
    <s v="b) un eveniment deosebit, o reușită, o sărbătoare, d) o etapa in care a influențat semnificativ viitoarea mea cariera educațională și profesională;, e) o etapa în care a influențat semnificativ dezvoltarea mea personală (în sens pozitiv)"/>
    <s v="6,51-7,00"/>
    <n v="7"/>
    <s v="Maturizare"/>
  </r>
  <r>
    <n v="160"/>
    <n v="1993"/>
    <x v="1"/>
    <x v="5"/>
    <s v="Regiunea Nord-Vest"/>
    <s v="a) Feminin"/>
    <s v="a) filiera teoretică (profilurile umanist şi real)"/>
    <s v="a) mediul urban"/>
    <s v="Istorie"/>
    <n v="9"/>
    <s v="e) M-am pregătit constant pe tot parcursul liceului"/>
    <n v="8"/>
    <n v="5"/>
    <n v="7"/>
    <s v="d) Nu, m-am pregătit singur(ă)"/>
    <n v="9"/>
    <s v="a) studii superioare, în același an în care am absolvit BAC-ul"/>
    <s v="d) Științe Economice"/>
    <n v="10"/>
    <s v="b) un eveniment deosebit, o reușită, o sărbătoare, d) o etapa in care a influențat semnificativ viitoarea mea cariera educațională și profesională;"/>
    <s v="9,51-10"/>
    <n v="10"/>
    <s v="Examenul maturității "/>
  </r>
  <r>
    <n v="161"/>
    <n v="1993"/>
    <x v="1"/>
    <x v="18"/>
    <s v="Regiunea Sud-Est"/>
    <s v="b) Masculin"/>
    <s v="b) filiera tehnologică (profilurile tehnic, servicii, economic, resurse naturale şi protecţia mediului)"/>
    <s v="a) mediul urban"/>
    <s v="Fizică"/>
    <n v="8"/>
    <s v="a) sub 3 luni"/>
    <n v="8"/>
    <n v="9"/>
    <n v="8"/>
    <s v="a) Da, la una dintre materii"/>
    <n v="8"/>
    <s v="g) Nu am mai urmat alte studii"/>
    <s v="h) Inginerie, producţie şi construcţii"/>
    <n v="3"/>
    <s v="a) un pas/o etapa normal(ă) în viață"/>
    <s v="6,51-7,00"/>
    <n v="7"/>
    <s v="Normal "/>
  </r>
  <r>
    <n v="162"/>
    <n v="1993"/>
    <x v="1"/>
    <x v="5"/>
    <s v="Regiunea Nord-Vest"/>
    <s v="b) Masculin"/>
    <s v="b) filiera tehnologică (profilurile tehnic, servicii, economic, resurse naturale şi protecţia mediului)"/>
    <s v="a) mediul urban"/>
    <s v="Biologie"/>
    <n v="7"/>
    <s v="b) 3- 6 luni"/>
    <n v="8"/>
    <n v="10"/>
    <n v="9"/>
    <s v="d) Nu, m-am pregătit singur(ă)"/>
    <n v="7"/>
    <s v="b) studii superioare, la un an de la absolvire"/>
    <s v="j) Sănătate şi asistenţă socială"/>
    <n v="9"/>
    <s v="a) un pas/o etapa normal(ă) în viață"/>
    <s v="8,01-8,50"/>
    <n v="9"/>
    <s v="Normalitate"/>
  </r>
  <r>
    <n v="163"/>
    <n v="1993"/>
    <x v="1"/>
    <x v="30"/>
    <s v="Regiunea Sud-Est"/>
    <s v="a) Feminin"/>
    <s v="b) filiera tehnologică (profilurile tehnic, servicii, economic, resurse naturale şi protecţia mediului)"/>
    <s v="a) mediul urban"/>
    <s v="Fizică"/>
    <n v="10"/>
    <s v="e) M-am pregătit constant pe tot parcursul liceului"/>
    <n v="9"/>
    <n v="1"/>
    <n v="4"/>
    <s v="d) Nu, m-am pregătit singur(ă)"/>
    <n v="10"/>
    <s v="e) studii superioare, la peste 5 ani de la absolvirea BAC-lui, f) studii postliceale / învățământ profesional terțiar"/>
    <s v="d) Științe Economice"/>
    <n v="10"/>
    <s v="a) un pas/o etapa normal(ă) în viață"/>
    <s v="7,01-7,50"/>
    <n v="5"/>
    <s v="STRESANTA"/>
  </r>
  <r>
    <n v="164"/>
    <n v="1994"/>
    <x v="1"/>
    <x v="21"/>
    <s v="Regiunea Sud-Muntenia"/>
    <s v="a) Feminin"/>
    <s v="a) filiera teoretică (profilurile umanist şi real)"/>
    <s v="a) mediul urban"/>
    <s v="Geografie"/>
    <n v="7"/>
    <s v="d) 12- 24 luni"/>
    <n v="7"/>
    <n v="5"/>
    <n v="5"/>
    <s v="a) Da, la una dintre materii"/>
    <n v="9"/>
    <s v="e) studii superioare, la peste 5 ani de la absolvirea BAC-lui"/>
    <s v="b) Arte şi ştiinţe umaniste"/>
    <n v="5"/>
    <s v="a) un pas/o etapa normal(ă) în viață"/>
    <s v="7,51-8,00"/>
    <n v="9"/>
    <s v="Dificil "/>
  </r>
  <r>
    <n v="165"/>
    <n v="1994"/>
    <x v="1"/>
    <x v="17"/>
    <s v="Regiunea Nord-Vest"/>
    <s v="a) Feminin"/>
    <s v="b) filiera tehnologică (profilurile tehnic, servicii, economic, resurse naturale şi protecţia mediului)"/>
    <s v="a) mediul urban"/>
    <s v="Filosofie"/>
    <n v="10"/>
    <s v="d) 12- 24 luni"/>
    <n v="8"/>
    <n v="10"/>
    <n v="10"/>
    <s v="d) Nu, m-am pregătit singur(ă)"/>
    <n v="10"/>
    <s v="e) studii superioare, la peste 5 ani de la absolvirea BAC-lui"/>
    <s v="i) Agricultură, silvicultură, piscicultură şi ştiinţe veterinare"/>
    <n v="10"/>
    <s v="e) o etapa în care a influențat semnificativ dezvoltarea mea personală (în sens pozitiv)"/>
    <s v="8,01-8,50"/>
    <n v="10"/>
    <s v="Importanta"/>
  </r>
  <r>
    <n v="166"/>
    <n v="1994"/>
    <x v="1"/>
    <x v="26"/>
    <s v="Regiunea Sud-Vest Oltenia"/>
    <s v="a) Feminin"/>
    <s v="a) filiera teoretică (profilurile umanist şi real)"/>
    <s v="a) mediul urban"/>
    <s v="Psihologie"/>
    <n v="9"/>
    <s v="e) M-am pregătit constant pe tot parcursul liceului"/>
    <n v="9"/>
    <n v="9"/>
    <n v="9"/>
    <s v="d) Nu, m-am pregătit singur(ă)"/>
    <n v="10"/>
    <s v="b) studii superioare, la un an de la absolvire"/>
    <s v="b) Arte şi ştiinţe umaniste"/>
    <n v="8"/>
    <s v="a) un pas/o etapa normal(ă) în viață"/>
    <s v="9,01-9,50"/>
    <n v="9"/>
    <s v="buna"/>
  </r>
  <r>
    <n v="167"/>
    <n v="1994"/>
    <x v="1"/>
    <x v="18"/>
    <s v="Regiunea Sud-Est"/>
    <s v="b) Masculin"/>
    <s v="c) filiera vocaţională (profilurile militar, teologic, sportiv, artistic şi pedagogic)"/>
    <s v="a) mediul urban"/>
    <s v="Economie"/>
    <n v="8"/>
    <s v="c) 6- 12 luni"/>
    <n v="8"/>
    <n v="7"/>
    <n v="8"/>
    <s v="d) Nu, m-am pregătit singur(ă)"/>
    <n v="8"/>
    <s v="a) studii superioare, în același an în care am absolvit BAC-ul"/>
    <s v="d) Științe Economice"/>
    <n v="8"/>
    <s v="a) un pas/o etapa normal(ă) în viață"/>
    <s v="8,51-9,00"/>
    <n v="8"/>
    <s v="Efort sustinut"/>
  </r>
  <r>
    <n v="168"/>
    <n v="1994"/>
    <x v="1"/>
    <x v="21"/>
    <s v="Regiunea Sud-Muntenia"/>
    <s v="b) Masculin"/>
    <s v="b) filiera tehnologică (profilurile tehnic, servicii, economic, resurse naturale şi protecţia mediului)"/>
    <s v="a) mediul urban"/>
    <s v="Economie"/>
    <n v="9"/>
    <s v="d) 12- 24 luni"/>
    <n v="10"/>
    <n v="8"/>
    <n v="10"/>
    <s v="a) Da, la una dintre materii"/>
    <n v="5"/>
    <s v="a) studii superioare, în același an în care am absolvit BAC-ul"/>
    <s v="d) Științe Economice"/>
    <n v="10"/>
    <s v="a) un pas/o etapa normal(ă) în viață"/>
    <s v="9,01-9,50"/>
    <n v="10"/>
    <s v="Foarte buna"/>
  </r>
  <r>
    <n v="169"/>
    <n v="1994"/>
    <x v="1"/>
    <x v="22"/>
    <s v="Regiunea Nord-Est"/>
    <s v="a) Feminin"/>
    <s v="a) filiera teoretică (profilurile umanist şi real)"/>
    <s v="a) mediul urban"/>
    <s v="Matematica"/>
    <n v="7"/>
    <s v="e) M-am pregătit constant pe tot parcursul liceului"/>
    <n v="9"/>
    <n v="1"/>
    <n v="8"/>
    <s v="a) Da, la una dintre materii"/>
    <n v="8"/>
    <s v="c) studii superioare, la 2-3 ani de la absolvire"/>
    <s v="c) Ştiinţe sociale, jurnalism şi informare"/>
    <n v="10"/>
    <s v="a) un pas/o etapa normal(ă) în viață, d) o etapa in care a influențat semnificativ viitoarea mea cariera educațională și profesională;, e) o etapa în care a influențat semnificativ dezvoltarea mea personală (în sens pozitiv)"/>
    <s v="8,01-8,50"/>
    <n v="6"/>
    <s v="normal"/>
  </r>
  <r>
    <n v="170"/>
    <n v="1994"/>
    <x v="1"/>
    <x v="2"/>
    <s v="Regiunea Sud-Muntenia"/>
    <s v="a) Feminin"/>
    <s v="a) filiera teoretică (profilurile umanist şi real)"/>
    <s v="a) mediul urban"/>
    <s v="Istorie"/>
    <n v="8"/>
    <s v="e) M-am pregătit constant pe tot parcursul liceului"/>
    <n v="7"/>
    <n v="10"/>
    <n v="8"/>
    <s v="d) Nu, m-am pregătit singur(ă)"/>
    <n v="9"/>
    <s v="b) studii superioare, la un an de la absolvire"/>
    <s v="d) Științe Economice"/>
    <n v="6"/>
    <s v="a) un pas/o etapa normal(ă) în viață"/>
    <s v="7,51-8,00"/>
    <n v="7"/>
    <s v="stresanta"/>
  </r>
  <r>
    <n v="171"/>
    <n v="1994"/>
    <x v="1"/>
    <x v="6"/>
    <s v="Regiunea București-Ilfov"/>
    <s v="a) Feminin"/>
    <s v="c) filiera vocaţională (profilurile militar, teologic, sportiv, artistic şi pedagogic)"/>
    <s v="a) mediul urban"/>
    <s v="Matematica, lb. Română, pedagogie "/>
    <n v="8"/>
    <s v="c) 6- 12 luni"/>
    <n v="5"/>
    <n v="3"/>
    <n v="7"/>
    <s v="a) Da, la una dintre materii"/>
    <n v="10"/>
    <s v="a) studii superioare, în același an în care am absolvit BAC-ul"/>
    <s v="Psihologie Sociologie "/>
    <n v="1"/>
    <s v="a) un pas/o etapa normal(ă) în viață"/>
    <s v="8,51-9,00"/>
    <n v="9"/>
    <s v="Stresantă "/>
  </r>
  <r>
    <n v="172"/>
    <n v="1994"/>
    <x v="1"/>
    <x v="7"/>
    <s v="Regiunea Centru"/>
    <s v="b) Masculin"/>
    <s v="a) filiera teoretică (profilurile umanist şi real)"/>
    <s v="a) mediul urban"/>
    <s v="Istorie "/>
    <n v="2"/>
    <s v="e) M-am pregătit constant pe tot parcursul liceului"/>
    <n v="10"/>
    <n v="9"/>
    <n v="10"/>
    <s v="d) Nu, m-am pregătit singur(ă)"/>
    <n v="7"/>
    <s v="a) studii superioare, în același an în care am absolvit BAC-ul"/>
    <s v="a) Educație, b) Arte şi ştiinţe umaniste"/>
    <n v="10"/>
    <s v="a) un pas/o etapa normal(ă) în viață"/>
    <s v="9,01-9,50"/>
    <n v="10"/>
    <s v="Seriozitate și implicare"/>
  </r>
  <r>
    <n v="173"/>
    <n v="1994"/>
    <x v="1"/>
    <x v="33"/>
    <s v="Regiunea Nord-Vest"/>
    <s v="a) Feminin"/>
    <s v="a) filiera teoretică (profilurile umanist şi real)"/>
    <s v="a) mediul urban"/>
    <s v="Economie"/>
    <n v="8"/>
    <s v="e) M-am pregătit constant pe tot parcursul liceului"/>
    <n v="7"/>
    <n v="10"/>
    <n v="8"/>
    <s v="a) Da, la una dintre materii"/>
    <n v="7"/>
    <s v="a) studii superioare, în același an în care am absolvit BAC-ul"/>
    <s v="a) Educație"/>
    <n v="9"/>
    <s v="a) un pas/o etapa normal(ă) în viață"/>
    <s v="8,01-8,50"/>
    <n v="8"/>
    <s v="Frumoasă "/>
  </r>
  <r>
    <n v="174"/>
    <n v="1994"/>
    <x v="1"/>
    <x v="6"/>
    <s v="Regiunea București-Ilfov"/>
    <s v="a) Feminin"/>
    <s v="b) filiera tehnologică (profilurile tehnic, servicii, economic, resurse naturale şi protecţia mediului)"/>
    <s v="a) mediul urban"/>
    <s v="Economie"/>
    <n v="7"/>
    <s v="e) M-am pregătit constant pe tot parcursul liceului"/>
    <n v="10"/>
    <n v="10"/>
    <n v="10"/>
    <s v="d) Nu, m-am pregătit singur(ă)"/>
    <n v="6"/>
    <s v="a) studii superioare, în același an în care am absolvit BAC-ul"/>
    <s v="d) Științe Economice"/>
    <n v="10"/>
    <s v="a) un pas/o etapa normal(ă) în viață"/>
    <s v="8,51-9,00"/>
    <n v="10"/>
    <s v="Normala"/>
  </r>
  <r>
    <n v="175"/>
    <n v="1994"/>
    <x v="1"/>
    <x v="18"/>
    <s v="Regiunea Sud-Est"/>
    <s v="b) Masculin"/>
    <s v="b) filiera tehnologică (profilurile tehnic, servicii, economic, resurse naturale şi protecţia mediului)"/>
    <s v="a) mediul urban"/>
    <s v="Filosofie"/>
    <n v="6"/>
    <s v="b) 3- 6 luni"/>
    <n v="6"/>
    <n v="1"/>
    <n v="1"/>
    <s v="d) Nu, m-am pregătit singur(ă)"/>
    <n v="1"/>
    <s v="a) studii superioare, în același an în care am absolvit BAC-ul"/>
    <s v="e) Administraţie şi drept"/>
    <n v="1"/>
    <s v="a) un pas/o etapa normal(ă) în viață"/>
    <s v="9,01-9,50"/>
    <n v="10"/>
    <s v="Foarte bună "/>
  </r>
  <r>
    <n v="176"/>
    <n v="1994"/>
    <x v="1"/>
    <x v="5"/>
    <s v="Regiunea Nord-Vest"/>
    <s v="a) Feminin"/>
    <s v="a) filiera teoretică (profilurile umanist şi real)"/>
    <s v="a) mediul urban"/>
    <s v="Nu știu/Nu țin minte"/>
    <n v="9"/>
    <s v="e) M-am pregătit constant pe tot parcursul liceului"/>
    <n v="9"/>
    <n v="6"/>
    <n v="10"/>
    <s v="d) Nu, m-am pregătit singur(ă)"/>
    <n v="8"/>
    <s v="e) studii superioare, la peste 5 ani de la absolvirea BAC-lui"/>
    <s v="a) Educație"/>
    <n v="6"/>
    <s v="a) un pas/o etapa normal(ă) în viață"/>
    <s v="8,01-8,50"/>
    <n v="9"/>
    <s v="Examenul maturității "/>
  </r>
  <r>
    <n v="177"/>
    <n v="1994"/>
    <x v="1"/>
    <x v="3"/>
    <s v="Regiunea Sud-Est"/>
    <s v="a) Feminin"/>
    <s v="a) filiera teoretică (profilurile umanist şi real)"/>
    <s v="a) mediul urban"/>
    <s v="Biologie"/>
    <n v="2"/>
    <s v="e) M-am pregătit constant pe tot parcursul liceului"/>
    <n v="10"/>
    <n v="10"/>
    <n v="10"/>
    <s v="d) Nu, m-am pregătit singur(ă)"/>
    <n v="5"/>
    <s v="a) studii superioare, în același an în care am absolvit BAC-ul"/>
    <s v="b) Arte şi ştiinţe umaniste"/>
    <n v="10"/>
    <s v="d) o etapa in care a influențat semnificativ viitoarea mea cariera educațională și profesională;"/>
    <s v="8,51-9,00"/>
    <n v="9"/>
    <s v="Frumoasa"/>
  </r>
  <r>
    <n v="178"/>
    <n v="1994"/>
    <x v="1"/>
    <x v="3"/>
    <s v="Regiunea Sud-Est"/>
    <s v="a) Feminin"/>
    <s v="a) filiera teoretică (profilurile umanist şi real)"/>
    <s v="a) mediul urban"/>
    <s v="Filosofie"/>
    <n v="8"/>
    <s v="e) M-am pregătit constant pe tot parcursul liceului"/>
    <n v="10"/>
    <n v="8"/>
    <n v="9"/>
    <s v="d) Nu, m-am pregătit singur(ă)"/>
    <n v="8"/>
    <s v="b) studii superioare, la un an de la absolvire"/>
    <s v="a) Educație, Matematică "/>
    <n v="10"/>
    <s v="a) un pas/o etapa normal(ă) în viață"/>
    <s v="9,01-9,50"/>
    <n v="9"/>
    <s v="Normală"/>
  </r>
  <r>
    <n v="179"/>
    <n v="1994"/>
    <x v="1"/>
    <x v="0"/>
    <s v="Regiunea Nord-Est"/>
    <s v="a) Feminin"/>
    <s v="a) filiera teoretică (profilurile umanist şi real)"/>
    <s v="a) mediul urban"/>
    <s v="Geografie"/>
    <n v="7"/>
    <s v="e) M-am pregătit constant pe tot parcursul liceului"/>
    <n v="10"/>
    <n v="5"/>
    <n v="7"/>
    <s v="d) Nu, m-am pregătit singur(ă)"/>
    <n v="10"/>
    <s v="d) studii superioare, la 3-5 ani de la absolvire"/>
    <s v="a) Educație"/>
    <n v="10"/>
    <s v="e) o etapa în care a influențat semnificativ dezvoltarea mea personală (în sens pozitiv)"/>
    <s v="8,51-9,00"/>
    <n v="8"/>
    <s v="Seriozitate"/>
  </r>
  <r>
    <n v="180"/>
    <n v="1994"/>
    <x v="1"/>
    <x v="5"/>
    <s v="Regiunea Nord-Vest"/>
    <s v="a) Feminin"/>
    <s v="a) filiera teoretică (profilurile umanist şi real)"/>
    <s v="a) mediul urban"/>
    <s v="Filosofie"/>
    <n v="6"/>
    <s v="b) 3- 6 luni"/>
    <n v="6"/>
    <n v="10"/>
    <n v="10"/>
    <s v="a) Da, la una dintre materii"/>
    <n v="5"/>
    <s v="c) studii superioare, la 2-3 ani de la absolvire"/>
    <s v="a) Educație"/>
    <n v="10"/>
    <s v="a) un pas/o etapa normal(ă) în viață"/>
    <s v="8,01-8,50"/>
    <n v="10"/>
    <s v="Bună "/>
  </r>
  <r>
    <n v="181"/>
    <n v="1994"/>
    <x v="1"/>
    <x v="17"/>
    <s v="Regiunea Nord-Vest"/>
    <s v="a) Feminin"/>
    <s v="a) filiera teoretică (profilurile umanist şi real)"/>
    <s v="a) mediul urban"/>
    <s v="Biologie"/>
    <n v="10"/>
    <s v="e) M-am pregătit constant pe tot parcursul liceului"/>
    <n v="9"/>
    <n v="9"/>
    <n v="9"/>
    <s v="a) Da, la una dintre materii"/>
    <n v="10"/>
    <s v="a) studii superioare, în același an în care am absolvit BAC-ul"/>
    <s v="d) Științe Economice"/>
    <n v="10"/>
    <s v="a) un pas/o etapa normal(ă) în viață, e) o etapa în care a influențat semnificativ dezvoltarea mea personală (în sens pozitiv)"/>
    <s v="8,01-8,50"/>
    <n v="9"/>
    <s v="Dificila"/>
  </r>
  <r>
    <n v="182"/>
    <n v="1994"/>
    <x v="1"/>
    <x v="5"/>
    <s v="Regiunea Nord-Vest"/>
    <s v="a) Feminin"/>
    <s v="a) filiera teoretică (profilurile umanist şi real)"/>
    <s v="a) mediul urban"/>
    <s v="Geografie"/>
    <n v="9"/>
    <s v="e) M-am pregătit constant pe tot parcursul liceului"/>
    <n v="6"/>
    <n v="7"/>
    <n v="5"/>
    <s v="d) Nu, m-am pregătit singur(ă)"/>
    <n v="9"/>
    <s v="c) studii superioare, la 2-3 ani de la absolvire"/>
    <s v="a) Educație"/>
    <n v="8"/>
    <s v="c) o etapă în care a influențat semnificativ viitoarea mea cariera educațională"/>
    <s v="8,51-9,00"/>
    <n v="8"/>
    <s v="Provocatoare"/>
  </r>
  <r>
    <n v="183"/>
    <n v="1994"/>
    <x v="1"/>
    <x v="17"/>
    <s v="Regiunea Nord-Vest"/>
    <s v="a) Feminin"/>
    <s v="a) filiera teoretică (profilurile umanist şi real)"/>
    <s v="a) mediul urban"/>
    <s v="Biologie"/>
    <n v="5"/>
    <s v="e) M-am pregătit constant pe tot parcursul liceului"/>
    <n v="7"/>
    <n v="7"/>
    <n v="8"/>
    <s v="d) Nu, m-am pregătit singur(ă)"/>
    <n v="10"/>
    <s v="d) studii superioare, la 3-5 ani de la absolvire"/>
    <s v="a) Educație"/>
    <n v="10"/>
    <s v="e) o etapa în care a influențat semnificativ dezvoltarea mea personală (în sens pozitiv)"/>
    <s v="7,51-8,00"/>
    <n v="5"/>
    <s v="Multă muncă "/>
  </r>
  <r>
    <n v="184"/>
    <n v="1994"/>
    <x v="1"/>
    <x v="26"/>
    <s v="Regiunea Sud-Vest Oltenia"/>
    <s v="a) Feminin"/>
    <s v="c) filiera vocaţională (profilurile militar, teologic, sportiv, artistic şi pedagogic)"/>
    <s v="a) mediul urban"/>
    <s v="Chimie"/>
    <n v="8"/>
    <s v="e) M-am pregătit constant pe tot parcursul liceului"/>
    <n v="8"/>
    <n v="10"/>
    <n v="9"/>
    <s v="d) Nu, m-am pregătit singur(ă)"/>
    <n v="5"/>
    <s v="a) studii superioare, în același an în care am absolvit BAC-ul"/>
    <s v="f) Ştiinţele naturii, matematică şi statistică"/>
    <n v="7"/>
    <s v="a) un pas/o etapa normal(ă) în viață"/>
    <s v="7,51-8,00"/>
    <n v="8"/>
    <s v="Bună "/>
  </r>
  <r>
    <n v="185"/>
    <n v="1994"/>
    <x v="1"/>
    <x v="9"/>
    <s v="Regiunea Sud-Est"/>
    <s v="a) Feminin"/>
    <s v="a) filiera teoretică (profilurile umanist şi real)"/>
    <s v="a) mediul urban"/>
    <s v="Biologie"/>
    <n v="9"/>
    <s v="e) M-am pregătit constant pe tot parcursul liceului"/>
    <n v="10"/>
    <n v="9"/>
    <n v="9"/>
    <s v="d) Nu, m-am pregătit singur(ă)"/>
    <n v="10"/>
    <s v="c) studii superioare, la 2-3 ani de la absolvire"/>
    <s v="j) Sănătate şi asistenţă socială"/>
    <n v="9"/>
    <s v="a) un pas/o etapa normal(ă) în viață"/>
    <s v="8,01-8,50"/>
    <n v="6"/>
    <s v="Stresantă "/>
  </r>
  <r>
    <n v="186"/>
    <n v="1994"/>
    <x v="1"/>
    <x v="9"/>
    <s v="Regiunea Sud-Est"/>
    <s v="a) Feminin"/>
    <s v="a) filiera teoretică (profilurile umanist şi real)"/>
    <s v="a) mediul urban"/>
    <s v="Psihologie"/>
    <n v="6"/>
    <s v="b) 3- 6 luni"/>
    <n v="10"/>
    <n v="1"/>
    <n v="10"/>
    <s v="d) Nu, m-am pregătit singur(ă)"/>
    <n v="10"/>
    <s v="a) studii superioare, în același an în care am absolvit BAC-ul"/>
    <s v="c) Ştiinţe sociale, jurnalism şi informare"/>
    <n v="10"/>
    <s v="a) un pas/o etapa normal(ă) în viață"/>
    <s v="9,51-10"/>
    <n v="10"/>
    <s v="Normala"/>
  </r>
  <r>
    <n v="187"/>
    <n v="1994"/>
    <x v="1"/>
    <x v="11"/>
    <s v="Regiunea Sud-Vest Oltenia"/>
    <s v="a) Feminin"/>
    <s v="a) filiera teoretică (profilurile umanist şi real)"/>
    <s v="a) mediul urban"/>
    <s v="Nu știu/Nu țin minte"/>
    <n v="10"/>
    <s v="e) M-am pregătit constant pe tot parcursul liceului"/>
    <n v="10"/>
    <n v="10"/>
    <n v="10"/>
    <s v="d) Nu, m-am pregătit singur(ă)"/>
    <n v="10"/>
    <s v="e) studii superioare, la peste 5 ani de la absolvirea BAC-lui"/>
    <s v="j) Sănătate şi asistenţă socială"/>
    <n v="8"/>
    <s v="e) o etapa în care a influențat semnificativ dezvoltarea mea personală (în sens pozitiv)"/>
    <s v="7,51-8,00"/>
    <n v="8"/>
    <s v="Grea "/>
  </r>
  <r>
    <n v="188"/>
    <n v="1994"/>
    <x v="1"/>
    <x v="18"/>
    <s v="Regiunea Sud-Est"/>
    <s v="b) Masculin"/>
    <s v="b) filiera tehnologică (profilurile tehnic, servicii, economic, resurse naturale şi protecţia mediului)"/>
    <s v="a) mediul urban"/>
    <s v="Fizică"/>
    <n v="8"/>
    <s v="e) M-am pregătit constant pe tot parcursul liceului"/>
    <n v="10"/>
    <n v="5"/>
    <n v="8"/>
    <s v="a) Da, la una dintre materii"/>
    <n v="8"/>
    <s v="a) studii superioare, în același an în care am absolvit BAC-ul"/>
    <s v="d) Științe Economice"/>
    <n v="8"/>
    <s v="a) un pas/o etapa normal(ă) în viață"/>
    <s v="7,51-8,00"/>
    <n v="7"/>
    <s v="Importantă"/>
  </r>
  <r>
    <n v="189"/>
    <n v="1994"/>
    <x v="1"/>
    <x v="24"/>
    <s v="Regiunea Nord-Est"/>
    <s v="a) Feminin"/>
    <s v="a) filiera teoretică (profilurile umanist şi real)"/>
    <s v="a) mediul urban"/>
    <s v="Engleză "/>
    <n v="8"/>
    <s v="c) 6- 12 luni"/>
    <n v="9"/>
    <n v="10"/>
    <n v="9"/>
    <s v="a) Da, la una dintre materii"/>
    <n v="8"/>
    <s v="c) studii superioare, la 2-3 ani de la absolvire"/>
    <s v="b) Arte şi ştiinţe umaniste"/>
    <n v="4"/>
    <s v="a) un pas/o etapa normal(ă) în viață"/>
    <s v="7,51-8,00"/>
    <n v="7"/>
    <s v="Normală "/>
  </r>
  <r>
    <n v="190"/>
    <n v="1994"/>
    <x v="1"/>
    <x v="9"/>
    <s v="Regiunea Sud-Est"/>
    <s v="a) Feminin"/>
    <s v="a) filiera teoretică (profilurile umanist şi real)"/>
    <s v="a) mediul urban"/>
    <s v="Geografie"/>
    <n v="8"/>
    <s v="c) 6- 12 luni"/>
    <n v="8"/>
    <n v="8"/>
    <n v="8"/>
    <s v="d) Nu, m-am pregătit singur(ă)"/>
    <n v="8"/>
    <s v="b) studii superioare, la un an de la absolvire"/>
    <s v="d) Științe Economice"/>
    <n v="7"/>
    <s v="c) o etapă în care a influențat semnificativ viitoarea mea cariera educațională"/>
    <s v="8,01-8,50"/>
    <n v="8"/>
    <s v="Seriozitate "/>
  </r>
  <r>
    <n v="191"/>
    <n v="1994"/>
    <x v="1"/>
    <x v="26"/>
    <s v="Regiunea Sud-Vest Oltenia"/>
    <s v="b) Masculin"/>
    <s v="a) filiera teoretică (profilurile umanist şi real)"/>
    <s v="a) mediul urban"/>
    <s v="Fizică"/>
    <n v="9"/>
    <s v="c) 6- 12 luni"/>
    <n v="10"/>
    <n v="10"/>
    <n v="8"/>
    <s v="b) Da, la mai multe materii"/>
    <n v="9"/>
    <s v="a) studii superioare, în același an în care am absolvit BAC-ul"/>
    <s v="f) Ştiinţele naturii, matematică şi statistică"/>
    <n v="10"/>
    <s v="a) un pas/o etapa normal(ă) în viață"/>
    <s v="9,01-9,50"/>
    <n v="10"/>
    <s v="Normala"/>
  </r>
  <r>
    <n v="192"/>
    <n v="1994"/>
    <x v="1"/>
    <x v="26"/>
    <s v="Regiunea Sud-Vest Oltenia"/>
    <s v="a) Feminin"/>
    <s v="b) filiera tehnologică (profilurile tehnic, servicii, economic, resurse naturale şi protecţia mediului)"/>
    <s v="a) mediul urban"/>
    <s v="Geografie"/>
    <n v="7"/>
    <s v="b) 3- 6 luni"/>
    <n v="5"/>
    <n v="10"/>
    <n v="7"/>
    <s v="a) Da, la una dintre materii"/>
    <n v="8"/>
    <s v="a) studii superioare, în același an în care am absolvit BAC-ul"/>
    <s v="d) Științe Economice"/>
    <n v="10"/>
    <s v="a) un pas/o etapa normal(ă) în viață"/>
    <s v="8,51-9,00"/>
    <n v="8"/>
    <s v="Stresanta"/>
  </r>
  <r>
    <n v="193"/>
    <n v="1995"/>
    <x v="1"/>
    <x v="6"/>
    <s v="Regiunea București-Ilfov"/>
    <s v="a) Feminin"/>
    <s v="a) filiera teoretică (profilurile umanist şi real)"/>
    <s v="b) mediul rural"/>
    <s v="Sport"/>
    <n v="8"/>
    <s v="e) M-am pregătit constant pe tot parcursul liceului"/>
    <n v="9"/>
    <n v="9"/>
    <n v="8"/>
    <s v="d) Nu, m-am pregătit singur(ă)"/>
    <n v="6"/>
    <s v="a) studii superioare, în același an în care am absolvit BAC-ul"/>
    <s v="a) Educație"/>
    <n v="10"/>
    <s v="a) un pas/o etapa normal(ă) în viață, d) o etapa in care a influențat semnificativ viitoarea mea cariera educațională și profesională;, e) o etapa în care a influențat semnificativ dezvoltarea mea personală (în sens pozitiv)"/>
    <s v="9,01-9,50"/>
    <n v="10"/>
    <s v="Interesantă "/>
  </r>
  <r>
    <n v="194"/>
    <n v="1995"/>
    <x v="1"/>
    <x v="28"/>
    <s v="Regiunea Vest"/>
    <s v="a) Feminin"/>
    <s v="b) filiera tehnologică (profilurile tehnic, servicii, economic, resurse naturale şi protecţia mediului)"/>
    <s v="b) mediul rural"/>
    <s v="Economie"/>
    <n v="4"/>
    <s v="c) 6- 12 luni"/>
    <n v="5"/>
    <n v="10"/>
    <n v="7"/>
    <s v="b) Da, la mai multe materii"/>
    <n v="9"/>
    <s v="d) studii superioare, la 3-5 ani de la absolvire"/>
    <s v="d) Științe Economice"/>
    <n v="8"/>
    <s v="a) un pas/o etapa normal(ă) în viață, c) o etapă în care a influențat semnificativ viitoarea mea cariera educațională"/>
    <s v="8,01-8,50"/>
    <n v="8"/>
    <s v="Maturitate"/>
  </r>
  <r>
    <n v="195"/>
    <n v="1995"/>
    <x v="1"/>
    <x v="25"/>
    <s v="Regiunea Sud-Muntenia"/>
    <s v="a) Feminin"/>
    <s v="b) filiera tehnologică (profilurile tehnic, servicii, economic, resurse naturale şi protecţia mediului)"/>
    <s v="a) mediul urban"/>
    <s v="Nu știu/Nu țin minte"/>
    <n v="8"/>
    <s v="e) M-am pregătit constant pe tot parcursul liceului"/>
    <n v="5"/>
    <n v="10"/>
    <n v="7"/>
    <s v="d) Nu, m-am pregătit singur(ă)"/>
    <n v="8"/>
    <s v="f) studii postliceale / învățământ profesional terțiar"/>
    <s v="c) Ştiinţe sociale, jurnalism şi informare"/>
    <n v="10"/>
    <s v="a) un pas/o etapa normal(ă) în viață"/>
    <s v="7,51-8,00"/>
    <n v="6"/>
    <s v="Normala"/>
  </r>
  <r>
    <n v="196"/>
    <n v="1995"/>
    <x v="1"/>
    <x v="11"/>
    <s v="Regiunea Sud-Vest Oltenia"/>
    <s v="b) Masculin"/>
    <s v="a) filiera teoretică (profilurile umanist şi real)"/>
    <s v="a) mediul urban"/>
    <s v="Economie"/>
    <n v="6"/>
    <s v="c) 6- 12 luni"/>
    <n v="9"/>
    <n v="9"/>
    <n v="8"/>
    <s v="d) Nu, m-am pregătit singur(ă)"/>
    <n v="9"/>
    <s v="a) studii superioare, în același an în care am absolvit BAC-ul"/>
    <s v="d) Științe Economice"/>
    <n v="5"/>
    <s v="a) un pas/o etapa normal(ă) în viață"/>
    <s v="9,01-9,50"/>
    <n v="9"/>
    <s v="Emoții"/>
  </r>
  <r>
    <n v="197"/>
    <n v="1995"/>
    <x v="1"/>
    <x v="35"/>
    <s v="Regiunea Centru"/>
    <s v="b) Masculin"/>
    <s v="a) filiera teoretică (profilurile umanist şi real)"/>
    <s v="a) mediul urban"/>
    <s v="Psihologie"/>
    <n v="8"/>
    <s v="b) 3- 6 luni"/>
    <n v="9"/>
    <n v="10"/>
    <n v="9"/>
    <s v="a) Da, la una dintre materii"/>
    <n v="8"/>
    <s v="d) studii superioare, la 3-5 ani de la absolvire"/>
    <s v="c) Ştiinţe sociale, jurnalism şi informare"/>
    <n v="8"/>
    <s v="a) un pas/o etapa normal(ă) în viață"/>
    <s v="7,01-7,50"/>
    <n v="7"/>
    <s v="Stresanta"/>
  </r>
  <r>
    <n v="198"/>
    <n v="1995"/>
    <x v="1"/>
    <x v="15"/>
    <s v="Regiunea Centru"/>
    <s v="a) Feminin"/>
    <s v="a) filiera teoretică (profilurile umanist şi real)"/>
    <s v="a) mediul urban"/>
    <s v="Psihologie"/>
    <n v="10"/>
    <s v="c) 6- 12 luni"/>
    <n v="9"/>
    <n v="9"/>
    <n v="1"/>
    <s v="a) Da, la una dintre materii"/>
    <n v="10"/>
    <s v="a) studii superioare, în același an în care am absolvit BAC-ul"/>
    <s v="a) Educație"/>
    <n v="8"/>
    <s v="a) un pas/o etapa normal(ă) în viață"/>
    <s v="8,51-9,00"/>
    <n v="9"/>
    <s v="Stresantă "/>
  </r>
  <r>
    <n v="199"/>
    <n v="1995"/>
    <x v="1"/>
    <x v="11"/>
    <s v="Regiunea Sud-Vest Oltenia"/>
    <s v="a) Feminin"/>
    <s v="c) filiera vocaţională (profilurile militar, teologic, sportiv, artistic şi pedagogic)"/>
    <s v="a) mediul urban"/>
    <s v="Istorie"/>
    <n v="2"/>
    <s v="b) 3- 6 luni"/>
    <n v="2"/>
    <n v="3"/>
    <n v="7"/>
    <s v="d) Nu, m-am pregătit singur(ă)"/>
    <n v="2"/>
    <s v="b) studii superioare, la un an de la absolvire"/>
    <s v="Educație fizică și sport "/>
    <n v="10"/>
    <s v="a) un pas/o etapa normal(ă) în viață"/>
    <s v="8,51-9,00"/>
    <n v="9"/>
    <s v="Foarte buna"/>
  </r>
  <r>
    <n v="200"/>
    <n v="1995"/>
    <x v="1"/>
    <x v="15"/>
    <s v="Regiunea Centru"/>
    <s v="a) Feminin"/>
    <s v="c) filiera vocaţională (profilurile militar, teologic, sportiv, artistic şi pedagogic)"/>
    <s v="a) mediul urban"/>
    <s v="Geografie"/>
    <n v="8"/>
    <s v="e) M-am pregătit constant pe tot parcursul liceului"/>
    <n v="8"/>
    <n v="5"/>
    <n v="7"/>
    <s v="d) Nu, m-am pregătit singur(ă)"/>
    <n v="7"/>
    <s v="a) studii superioare, în același an în care am absolvit BAC-ul"/>
    <s v="a) Educație"/>
    <n v="9"/>
    <s v="c) o etapă în care a influențat semnificativ viitoarea mea cariera educațională"/>
    <s v="9,01-9,50"/>
    <n v="9"/>
    <s v="Normalitate "/>
  </r>
  <r>
    <n v="201"/>
    <n v="1995"/>
    <x v="1"/>
    <x v="11"/>
    <s v="Regiunea Sud-Vest Oltenia"/>
    <s v="b) Masculin"/>
    <s v="a) filiera teoretică (profilurile umanist şi real)"/>
    <s v="a) mediul urban"/>
    <s v="Geografie"/>
    <n v="8"/>
    <s v="b) 3- 6 luni"/>
    <n v="7"/>
    <n v="8"/>
    <n v="6"/>
    <s v="a) Da, la una dintre materii"/>
    <n v="8"/>
    <s v="a) studii superioare, în același an în care am absolvit BAC-ul"/>
    <s v="e) Administraţie şi drept"/>
    <n v="9"/>
    <s v="a) un pas/o etapa normal(ă) în viață"/>
    <s v="8,01-8,50"/>
    <n v="8"/>
    <s v="Grea"/>
  </r>
  <r>
    <n v="202"/>
    <n v="1995"/>
    <x v="1"/>
    <x v="37"/>
    <s v="Regiunea Nord-Vest"/>
    <s v="a) Feminin"/>
    <s v="a) filiera teoretică (profilurile umanist şi real)"/>
    <s v="a) mediul urban"/>
    <s v="Fizică"/>
    <n v="7"/>
    <s v="e) M-am pregătit constant pe tot parcursul liceului"/>
    <n v="8"/>
    <n v="9"/>
    <n v="9"/>
    <s v="d) Nu, m-am pregătit singur(ă)"/>
    <n v="9"/>
    <s v="b) studii superioare, la un an de la absolvire"/>
    <s v="Arte"/>
    <n v="10"/>
    <s v="a) un pas/o etapa normal(ă) în viață"/>
    <s v="8,51-9,00"/>
    <n v="9"/>
    <s v="Necesara "/>
  </r>
  <r>
    <n v="203"/>
    <n v="1995"/>
    <x v="1"/>
    <x v="1"/>
    <s v="Regiunea Sud-Est"/>
    <s v="a) Feminin"/>
    <s v="a) filiera teoretică (profilurile umanist şi real)"/>
    <s v="a) mediul urban"/>
    <s v="Psihologie"/>
    <n v="8"/>
    <s v="b) 3- 6 luni"/>
    <n v="9"/>
    <n v="7"/>
    <n v="8"/>
    <s v="d) Nu, m-am pregătit singur(ă)"/>
    <n v="9"/>
    <s v="d) studii superioare, la 3-5 ani de la absolvire"/>
    <s v="a) Educație"/>
    <n v="6"/>
    <s v="a) un pas/o etapa normal(ă) în viață"/>
    <s v="9,01-9,50"/>
    <n v="7"/>
    <s v="Stres"/>
  </r>
  <r>
    <n v="204"/>
    <n v="1995"/>
    <x v="1"/>
    <x v="21"/>
    <s v="Regiunea Sud-Muntenia"/>
    <s v="a) Feminin"/>
    <s v="a) filiera teoretică (profilurile umanist şi real)"/>
    <s v="a) mediul urban"/>
    <s v="Geografie"/>
    <n v="8"/>
    <s v="e) M-am pregătit constant pe tot parcursul liceului"/>
    <n v="9"/>
    <n v="8"/>
    <n v="5"/>
    <s v="d) Nu, m-am pregătit singur(ă)"/>
    <n v="10"/>
    <s v="c) studii superioare, la 2-3 ani de la absolvire"/>
    <s v="c) Ştiinţe sociale, jurnalism şi informare"/>
    <n v="10"/>
    <s v="b) un eveniment deosebit, o reușită, o sărbătoare"/>
    <s v="8,51-9,00"/>
    <n v="9"/>
    <s v="Multă muncă "/>
  </r>
  <r>
    <n v="205"/>
    <n v="1995"/>
    <x v="1"/>
    <x v="22"/>
    <s v="Regiunea Nord-Est"/>
    <s v="a) Feminin"/>
    <s v="b) filiera tehnologică (profilurile tehnic, servicii, economic, resurse naturale şi protecţia mediului)"/>
    <s v="a) mediul urban"/>
    <s v="Fizică"/>
    <n v="10"/>
    <s v="d) 12- 24 luni"/>
    <n v="3"/>
    <n v="6"/>
    <n v="3"/>
    <s v="a) Da, la una dintre materii"/>
    <n v="10"/>
    <s v="e) studii superioare, la peste 5 ani de la absolvirea BAC-lui"/>
    <s v="a) Educație"/>
    <n v="1"/>
    <s v="a) un pas/o etapa normal(ă) în viață"/>
    <s v="7,51-8,00"/>
    <n v="8"/>
    <s v="Stres"/>
  </r>
  <r>
    <n v="206"/>
    <n v="1995"/>
    <x v="1"/>
    <x v="19"/>
    <s v="Regiunea Centru"/>
    <s v="a) Feminin"/>
    <s v="a) filiera teoretică (profilurile umanist şi real)"/>
    <s v="a) mediul urban"/>
    <s v="Geografie"/>
    <n v="3"/>
    <s v="c) 6- 12 luni"/>
    <n v="9"/>
    <n v="7"/>
    <n v="9"/>
    <s v="d) Nu, m-am pregătit singur(ă)"/>
    <n v="7"/>
    <s v="b) studii superioare, la un an de la absolvire"/>
    <s v="a) Educație"/>
    <n v="9"/>
    <s v="c) o etapă în care a influențat semnificativ viitoarea mea cariera educațională"/>
    <s v="8,51-9,00"/>
    <n v="8"/>
    <s v="Seriozitate "/>
  </r>
  <r>
    <n v="207"/>
    <n v="1995"/>
    <x v="1"/>
    <x v="33"/>
    <s v="Regiunea Nord-Vest"/>
    <s v="a) Feminin"/>
    <s v="a) filiera teoretică (profilurile umanist şi real)"/>
    <s v="a) mediul urban"/>
    <s v="Limba latină"/>
    <n v="9"/>
    <s v="e) M-am pregătit constant pe tot parcursul liceului"/>
    <n v="7"/>
    <n v="9"/>
    <n v="9"/>
    <s v="b) Da, la mai multe materii"/>
    <n v="9"/>
    <s v="a) studii superioare, în același an în care am absolvit BAC-ul"/>
    <s v="a) Educație"/>
    <n v="4"/>
    <s v="a) un pas/o etapa normal(ă) în viață"/>
    <s v="8,01-8,50"/>
    <n v="6"/>
    <s v="Stresanta"/>
  </r>
  <r>
    <n v="208"/>
    <n v="1995"/>
    <x v="1"/>
    <x v="3"/>
    <s v="Regiunea Sud-Est"/>
    <s v="b) Masculin"/>
    <s v="b) filiera tehnologică (profilurile tehnic, servicii, economic, resurse naturale şi protecţia mediului)"/>
    <s v="a) mediul urban"/>
    <s v="Istorie"/>
    <n v="8"/>
    <s v="c) 6- 12 luni"/>
    <n v="7"/>
    <n v="7"/>
    <n v="7"/>
    <s v="d) Nu, m-am pregătit singur(ă)"/>
    <n v="9"/>
    <s v="g) Nu am mai urmat alte studii"/>
    <s v="Nu"/>
    <n v="5"/>
    <s v="a) un pas/o etapa normal(ă) în viață"/>
    <s v="7,51-8,00"/>
    <n v="8"/>
    <s v="Stresanta"/>
  </r>
  <r>
    <n v="209"/>
    <n v="1995"/>
    <x v="1"/>
    <x v="26"/>
    <s v="Regiunea Sud-Vest Oltenia"/>
    <s v="b) Masculin"/>
    <s v="b) filiera tehnologică (profilurile tehnic, servicii, economic, resurse naturale şi protecţia mediului)"/>
    <s v="a) mediul urban"/>
    <s v="Istorie"/>
    <n v="8"/>
    <s v="b) 3- 6 luni"/>
    <n v="8"/>
    <n v="7"/>
    <n v="8"/>
    <s v="a) Da, la una dintre materii"/>
    <n v="8"/>
    <s v="a) studii superioare, în același an în care am absolvit BAC-ul"/>
    <s v="h) Inginerie, producţie şi construcţii"/>
    <n v="8"/>
    <s v="a) un pas/o etapa normal(ă) în viață"/>
    <s v="8,51-9,00"/>
    <n v="8"/>
    <s v="Interesantă"/>
  </r>
  <r>
    <n v="210"/>
    <n v="1995"/>
    <x v="1"/>
    <x v="6"/>
    <s v="Regiunea București-Ilfov"/>
    <s v="a) Feminin"/>
    <s v="a) filiera teoretică (profilurile umanist şi real)"/>
    <s v="a) mediul urban"/>
    <s v="Chimie"/>
    <n v="9"/>
    <s v="e) M-am pregătit constant pe tot parcursul liceului"/>
    <n v="10"/>
    <n v="1"/>
    <n v="8"/>
    <s v="d) Nu, m-am pregătit singur(ă)"/>
    <n v="10"/>
    <s v="a) studii superioare, în același an în care am absolvit BAC-ul"/>
    <s v="f) Ştiinţele naturii, matematică şi statistică"/>
    <n v="10"/>
    <s v="a) un pas/o etapa normal(ă) în viață"/>
    <s v="9,01-9,50"/>
    <n v="9"/>
    <s v="Stresanta"/>
  </r>
  <r>
    <n v="211"/>
    <n v="1995"/>
    <x v="1"/>
    <x v="37"/>
    <s v="Regiunea Nord-Vest"/>
    <s v="a) Feminin"/>
    <s v="b) filiera tehnologică (profilurile tehnic, servicii, economic, resurse naturale şi protecţia mediului)"/>
    <s v="a) mediul urban"/>
    <s v="Geografie"/>
    <n v="8"/>
    <s v="c) 6- 12 luni"/>
    <n v="8"/>
    <n v="9"/>
    <n v="8"/>
    <s v="d) Nu, m-am pregătit singur(ă)"/>
    <n v="9"/>
    <s v="b) studii superioare, la un an de la absolvire"/>
    <s v="a) Educație"/>
    <n v="8"/>
    <s v="a) un pas/o etapa normal(ă) în viață"/>
    <s v="7,51-8,00"/>
    <n v="8"/>
    <s v="Interesanta"/>
  </r>
  <r>
    <n v="212"/>
    <n v="1995"/>
    <x v="1"/>
    <x v="11"/>
    <s v="Regiunea Sud-Vest Oltenia"/>
    <s v="a) Feminin"/>
    <s v="a) filiera teoretică (profilurile umanist şi real)"/>
    <s v="a) mediul urban"/>
    <s v="Biologie"/>
    <n v="5"/>
    <s v="b) 3- 6 luni"/>
    <n v="3"/>
    <n v="10"/>
    <n v="3"/>
    <s v="b) Da, la mai multe materii"/>
    <n v="10"/>
    <s v="f) studii postliceale / învățământ profesional terțiar"/>
    <s v="j) Sănătate şi asistenţă socială"/>
    <n v="6"/>
    <s v="a) un pas/o etapa normal(ă) în viață"/>
    <s v="7,51-8,00"/>
    <n v="5"/>
    <s v="O experienta unica "/>
  </r>
  <r>
    <n v="213"/>
    <n v="1995"/>
    <x v="1"/>
    <x v="9"/>
    <s v="Regiunea Sud-Est"/>
    <s v="a) Feminin"/>
    <s v="b) filiera tehnologică (profilurile tehnic, servicii, economic, resurse naturale şi protecţia mediului)"/>
    <s v="a) mediul urban"/>
    <s v="Fizică"/>
    <n v="6"/>
    <s v="e) M-am pregătit constant pe tot parcursul liceului"/>
    <n v="5"/>
    <n v="10"/>
    <n v="9"/>
    <s v="a) Da, la una dintre materii"/>
    <n v="10"/>
    <s v="c) studii superioare, la 2-3 ani de la absolvire, f) studii postliceale / învățământ profesional terțiar"/>
    <s v="e) Administraţie şi drept, j) Sănătate şi asistenţă socială"/>
    <n v="5"/>
    <s v="a) un pas/o etapa normal(ă) în viață"/>
    <s v="8,51-9,00"/>
    <n v="8"/>
    <s v="Bună "/>
  </r>
  <r>
    <n v="214"/>
    <n v="1995"/>
    <x v="1"/>
    <x v="9"/>
    <s v="Regiunea Sud-Est"/>
    <s v="a) Feminin"/>
    <s v="a) filiera teoretică (profilurile umanist şi real)"/>
    <s v="a) mediul urban"/>
    <s v="Chimie"/>
    <n v="5"/>
    <s v="a) sub 3 luni"/>
    <n v="10"/>
    <n v="5"/>
    <n v="10"/>
    <s v="d) Nu, m-am pregătit singur(ă)"/>
    <n v="9"/>
    <s v="f) studii postliceale / învățământ profesional terțiar"/>
    <s v="j) Sănătate şi asistenţă socială"/>
    <n v="1"/>
    <s v="a) un pas/o etapa normal(ă) în viață"/>
    <s v="6,51-7,00"/>
    <n v="10"/>
    <s v="Nu știu "/>
  </r>
  <r>
    <n v="215"/>
    <n v="1995"/>
    <x v="1"/>
    <x v="26"/>
    <s v="Regiunea Sud-Vest Oltenia"/>
    <s v="a) Feminin"/>
    <s v="a) filiera teoretică (profilurile umanist şi real)"/>
    <s v="a) mediul urban"/>
    <s v="Biologie"/>
    <n v="6"/>
    <s v="c) 6- 12 luni"/>
    <n v="8"/>
    <n v="4"/>
    <n v="7"/>
    <s v="d) Nu, m-am pregătit singur(ă)"/>
    <n v="5"/>
    <s v="a) studii superioare, în același an în care am absolvit BAC-ul"/>
    <s v="a) Educație"/>
    <n v="10"/>
    <s v="d) o etapa in care a influențat semnificativ viitoarea mea cariera educațională și profesională;"/>
    <s v="8,51-9,00"/>
    <n v="9"/>
    <s v="Mult studiu individual"/>
  </r>
  <r>
    <n v="216"/>
    <n v="1995"/>
    <x v="1"/>
    <x v="33"/>
    <s v="Regiunea Nord-Vest"/>
    <s v="a) Feminin"/>
    <s v="a) filiera teoretică (profilurile umanist şi real)"/>
    <s v="a) mediul urban"/>
    <s v="Geografie"/>
    <n v="8"/>
    <s v="c) 6- 12 luni"/>
    <n v="9"/>
    <n v="8"/>
    <n v="8"/>
    <s v="a) Da, la una dintre materii"/>
    <n v="8"/>
    <s v="a) studii superioare, în același an în care am absolvit BAC-ul"/>
    <s v="d) Științe Economice"/>
    <n v="9"/>
    <s v="a) un pas/o etapa normal(ă) în viață"/>
    <s v="7,01-7,50"/>
    <n v="7"/>
    <s v="Grea"/>
  </r>
  <r>
    <n v="217"/>
    <n v="1995"/>
    <x v="1"/>
    <x v="14"/>
    <s v="Regiunea Nord-Est"/>
    <s v="a) Feminin"/>
    <s v="a) filiera teoretică (profilurile umanist şi real)"/>
    <s v="a) mediul urban"/>
    <s v="Psihologie"/>
    <n v="3"/>
    <s v="e) M-am pregătit constant pe tot parcursul liceului"/>
    <n v="5"/>
    <n v="10"/>
    <n v="10"/>
    <s v="a) Da, la una dintre materii"/>
    <n v="6"/>
    <s v="a) studii superioare, în același an în care am absolvit BAC-ul"/>
    <s v="b) Arte şi ştiinţe umaniste"/>
    <n v="10"/>
    <s v="a) un pas/o etapa normal(ă) în viață, 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9"/>
    <s v="Multă muncă "/>
  </r>
  <r>
    <n v="218"/>
    <n v="1995"/>
    <x v="1"/>
    <x v="26"/>
    <s v="Regiunea Sud-Vest Oltenia"/>
    <s v="b) Masculin"/>
    <s v="a) filiera teoretică (profilurile umanist şi real)"/>
    <s v="a) mediul urban"/>
    <s v="Nu a fost cazul"/>
    <n v="7"/>
    <s v="b) 3- 6 luni"/>
    <n v="9"/>
    <n v="1"/>
    <n v="8"/>
    <s v="d) Nu, m-am pregătit singur(ă)"/>
    <n v="9"/>
    <s v="b) studii superioare, la un an de la absolvire"/>
    <s v="f) Ştiinţele naturii, matematică şi statistică"/>
    <n v="9"/>
    <s v="a) un pas/o etapa normal(ă) în viață"/>
    <s v="7,01-7,50"/>
    <n v="9"/>
    <s v="obositoare"/>
  </r>
  <r>
    <n v="219"/>
    <n v="1996"/>
    <x v="1"/>
    <x v="8"/>
    <s v="Regiunea Nord-Est"/>
    <s v="a) Feminin"/>
    <s v="a) filiera teoretică (profilurile umanist şi real)"/>
    <s v="a) mediul urban"/>
    <s v="Geografie"/>
    <n v="9"/>
    <s v="e) M-am pregătit constant pe tot parcursul liceului"/>
    <n v="6"/>
    <n v="8"/>
    <n v="8"/>
    <s v="d) Nu, m-am pregătit singur(ă)"/>
    <n v="9"/>
    <s v="a) studii superioare, în același an în care am absolvit BAC-ul"/>
    <s v="e) Administraţie şi drept"/>
    <n v="9"/>
    <s v="a) un pas/o etapa normal(ă) în viață"/>
    <s v="9,51-10"/>
    <n v="9"/>
    <s v="Dificila"/>
  </r>
  <r>
    <n v="220"/>
    <n v="1996"/>
    <x v="1"/>
    <x v="38"/>
    <s v="Regiunea Sud-Muntenia"/>
    <s v="b) Masculin"/>
    <s v="a) filiera teoretică (profilurile umanist şi real)"/>
    <s v="a) mediul urban"/>
    <s v="Economie"/>
    <n v="8"/>
    <s v="b) 3- 6 luni"/>
    <n v="7"/>
    <n v="9"/>
    <n v="8"/>
    <s v="d) Nu, m-am pregătit singur(ă)"/>
    <n v="7"/>
    <s v="a) studii superioare, în același an în care am absolvit BAC-ul"/>
    <s v="d) Științe Economice"/>
    <n v="5"/>
    <s v="a) un pas/o etapa normal(ă) în viață"/>
    <s v="7,01-7,50"/>
    <n v="7"/>
    <s v="interesanta"/>
  </r>
  <r>
    <n v="221"/>
    <n v="1996"/>
    <x v="1"/>
    <x v="31"/>
    <s v="Regiunea Sud-Vest Oltenia"/>
    <s v="a) Feminin"/>
    <s v="c) filiera vocaţională (profilurile militar, teologic, sportiv, artistic şi pedagogic)"/>
    <s v="a) mediul urban"/>
    <s v="istorie"/>
    <n v="10"/>
    <s v="e) M-am pregătit constant pe tot parcursul liceului"/>
    <n v="10"/>
    <n v="8"/>
    <n v="10"/>
    <s v="d) Nu, m-am pregătit singur(ă)"/>
    <n v="9"/>
    <s v="a) studii superioare, în același an în care am absolvit BAC-ul"/>
    <s v="e) Administraţie şi drept"/>
    <n v="6"/>
    <s v="a) un pas/o etapa normal(ă) în viață, e) o etapa în care a influențat semnificativ dezvoltarea mea personală (în sens pozitiv)"/>
    <s v="8,01-8,50"/>
    <n v="8"/>
    <s v="foarte utila "/>
  </r>
  <r>
    <n v="222"/>
    <n v="1996"/>
    <x v="1"/>
    <x v="36"/>
    <s v="Regiunea Nord-Vest"/>
    <s v="b) Masculin"/>
    <s v="c) filiera vocaţională (profilurile militar, teologic, sportiv, artistic şi pedagogic)"/>
    <s v="a) mediul urban"/>
    <s v="Nu știu/Nu țin minte"/>
    <n v="9"/>
    <s v="e) M-am pregătit constant pe tot parcursul liceului"/>
    <n v="10"/>
    <n v="10"/>
    <n v="10"/>
    <s v="d) Nu, m-am pregătit singur(ă)"/>
    <n v="10"/>
    <s v="b) studii superioare, la un an de la absolvire"/>
    <s v="a) Educație"/>
    <n v="10"/>
    <s v="a) un pas/o etapa normal(ă) în viață"/>
    <s v="9,01-9,50"/>
    <n v="9"/>
    <s v="Stresanta"/>
  </r>
  <r>
    <n v="223"/>
    <n v="1996"/>
    <x v="1"/>
    <x v="32"/>
    <s v="Regiunea Sud-Vest Oltenia"/>
    <s v="a) Feminin"/>
    <s v="c) filiera vocaţională (profilurile militar, teologic, sportiv, artistic şi pedagogic)"/>
    <s v="a) mediul urban"/>
    <s v="Psihologie"/>
    <n v="7"/>
    <s v="e) M-am pregătit constant pe tot parcursul liceului"/>
    <n v="8"/>
    <n v="9"/>
    <n v="8"/>
    <s v="c) Da, la toate materiile"/>
    <n v="3"/>
    <s v="a) studii superioare, în același an în care am absolvit BAC-ul"/>
    <s v="a) Educație"/>
    <n v="10"/>
    <s v="d) o etapa in care a influențat semnificativ viitoarea mea cariera educațională și profesională;"/>
    <s v="9,51-10"/>
    <n v="10"/>
    <s v="O experiență de neuitat "/>
  </r>
  <r>
    <n v="224"/>
    <n v="1996"/>
    <x v="1"/>
    <x v="31"/>
    <s v="Regiunea Sud-Vest Oltenia"/>
    <s v="a) Feminin"/>
    <s v="c) filiera vocaţională (profilurile militar, teologic, sportiv, artistic şi pedagogic)"/>
    <s v="a) mediul urban"/>
    <s v="Geografie"/>
    <n v="7"/>
    <s v="c) 6- 12 luni"/>
    <n v="6"/>
    <n v="1"/>
    <n v="7"/>
    <s v="d) Nu, m-am pregătit singur(ă)"/>
    <n v="8"/>
    <s v="c) studii superioare, la 2-3 ani de la absolvire"/>
    <s v="a) Educație"/>
    <n v="10"/>
    <s v="a) un pas/o etapa normal(ă) în viață"/>
    <s v="7,51-8,00"/>
    <n v="9"/>
    <s v="Interesanta "/>
  </r>
  <r>
    <n v="225"/>
    <n v="1996"/>
    <x v="1"/>
    <x v="22"/>
    <s v="Regiunea Nord-Est"/>
    <s v="b) Masculin"/>
    <s v="b) filiera tehnologică (profilurile tehnic, servicii, economic, resurse naturale şi protecţia mediului)"/>
    <s v="a) mediul urban"/>
    <s v="Geografie"/>
    <n v="8"/>
    <s v="c) 6- 12 luni"/>
    <n v="8"/>
    <n v="10"/>
    <n v="8"/>
    <s v="d) Nu, m-am pregătit singur(ă)"/>
    <n v="8"/>
    <s v="a) studii superioare, în același an în care am absolvit BAC-ul"/>
    <s v="a) Educație"/>
    <n v="8"/>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7,51-8,00"/>
    <n v="10"/>
    <s v="Normala"/>
  </r>
  <r>
    <n v="226"/>
    <n v="1996"/>
    <x v="1"/>
    <x v="18"/>
    <s v="Regiunea Sud-Est"/>
    <s v="a) Feminin"/>
    <s v="a) filiera teoretică (profilurile umanist şi real)"/>
    <s v="a) mediul urban"/>
    <s v="Nu știu/Nu țin minte"/>
    <n v="8"/>
    <s v="d) 12- 24 luni"/>
    <n v="8"/>
    <n v="10"/>
    <n v="10"/>
    <s v="d) Nu, m-am pregătit singur(ă)"/>
    <n v="9"/>
    <s v="b) studii superioare, la un an de la absolvire"/>
    <s v="a) Educație"/>
    <n v="10"/>
    <s v="a) un pas/o etapa normal(ă) în viață"/>
    <s v="9,51-10"/>
    <n v="10"/>
    <s v="Obositoare "/>
  </r>
  <r>
    <n v="227"/>
    <n v="1996"/>
    <x v="1"/>
    <x v="18"/>
    <s v="Regiunea Sud-Est"/>
    <s v="a) Feminin"/>
    <s v="a) filiera teoretică (profilurile umanist şi real)"/>
    <s v="a) mediul urban"/>
    <s v="Filosofie"/>
    <n v="8"/>
    <s v="c) 6- 12 luni"/>
    <n v="10"/>
    <n v="10"/>
    <n v="8"/>
    <s v="b) Da, la mai multe materii"/>
    <n v="5"/>
    <s v="a) studii superioare, în același an în care am absolvit BAC-ul"/>
    <s v="b) Arte şi ştiinţe umaniste, c) Ştiinţe sociale, jurnalism şi informare"/>
    <n v="1"/>
    <s v="a) un pas/o etapa normal(ă) în viață"/>
    <s v="8,51-9,00"/>
    <n v="4"/>
    <s v="Normala"/>
  </r>
  <r>
    <n v="228"/>
    <n v="1996"/>
    <x v="1"/>
    <x v="33"/>
    <s v="Regiunea Nord-Vest"/>
    <s v="b) Masculin"/>
    <s v="a) filiera teoretică (profilurile umanist şi real)"/>
    <s v="a) mediul urban"/>
    <s v="Logică, argumentare și comunicare"/>
    <n v="8"/>
    <s v="a) sub 3 luni"/>
    <n v="8"/>
    <n v="3"/>
    <n v="5"/>
    <s v="d) Nu, m-am pregătit singur(ă)"/>
    <n v="8"/>
    <s v="e) studii superioare, la peste 5 ani de la absolvirea BAC-lui"/>
    <s v="d) Științe Economice"/>
    <n v="10"/>
    <s v="b) un eveniment deosebit, o reușită, o sărbătoare"/>
    <s v="9,01-9,50"/>
    <n v="8"/>
    <s v="stresant"/>
  </r>
  <r>
    <n v="229"/>
    <n v="1996"/>
    <x v="1"/>
    <x v="19"/>
    <s v="Regiunea Centru"/>
    <s v="a) Feminin"/>
    <s v="b) filiera tehnologică (profilurile tehnic, servicii, economic, resurse naturale şi protecţia mediului)"/>
    <s v="a) mediul urban"/>
    <s v="Economie"/>
    <n v="7"/>
    <s v="c) 6- 12 luni"/>
    <n v="10"/>
    <n v="1"/>
    <n v="4"/>
    <s v="d) Nu, m-am pregătit singur(ă)"/>
    <n v="5"/>
    <s v="b) studii superioare, la un an de la absolvire"/>
    <s v="a) Educație"/>
    <n v="1"/>
    <s v="a) un pas/o etapa normal(ă) în viață"/>
    <s v="8,51-9,00"/>
    <n v="10"/>
    <s v="Normalitate"/>
  </r>
  <r>
    <n v="230"/>
    <n v="1996"/>
    <x v="1"/>
    <x v="5"/>
    <s v="Regiunea Nord-Vest"/>
    <s v="a) Feminin"/>
    <s v="b) filiera tehnologică (profilurile tehnic, servicii, economic, resurse naturale şi protecţia mediului)"/>
    <s v="a) mediul urban"/>
    <s v="Economie"/>
    <n v="7"/>
    <s v="c) 6- 12 luni"/>
    <n v="7"/>
    <n v="10"/>
    <n v="8"/>
    <s v="d) Nu, m-am pregătit singur(ă)"/>
    <n v="4"/>
    <s v="b) studii superioare, la un an de la absolvire"/>
    <s v="a) Educație"/>
    <n v="7"/>
    <s v="c) o etapă în care a influențat semnificativ viitoarea mea cariera educațională"/>
    <s v="8,01-8,50"/>
    <n v="8"/>
    <s v="Responsabilitate"/>
  </r>
  <r>
    <n v="231"/>
    <n v="1996"/>
    <x v="1"/>
    <x v="7"/>
    <s v="Regiunea Centru"/>
    <s v="a) Feminin"/>
    <s v="a) filiera teoretică (profilurile umanist şi real)"/>
    <s v="a) mediul urban"/>
    <s v="Biologie"/>
    <n v="2"/>
    <s v="e) M-am pregătit constant pe tot parcursul liceului"/>
    <n v="10"/>
    <n v="10"/>
    <n v="10"/>
    <s v="d) Nu, m-am pregătit singur(ă)"/>
    <n v="5"/>
    <s v="a) studii superioare, în același an în care am absolvit BAC-ul"/>
    <s v="b) Arte şi ştiinţe umaniste"/>
    <n v="10"/>
    <s v="e) o etapa în care a influențat semnificativ dezvoltarea mea personală (în sens pozitiv)"/>
    <s v="9,51-10"/>
    <n v="10"/>
    <s v="Normala"/>
  </r>
  <r>
    <n v="232"/>
    <n v="1996"/>
    <x v="1"/>
    <x v="17"/>
    <s v="Regiunea Nord-Vest"/>
    <s v="a) Feminin"/>
    <s v="a) filiera teoretică (profilurile umanist şi real)"/>
    <s v="a) mediul urban"/>
    <s v="Nu știu/Nu țin minte"/>
    <n v="9"/>
    <s v="e) M-am pregătit constant pe tot parcursul liceului"/>
    <n v="7"/>
    <n v="10"/>
    <n v="7"/>
    <s v="c) Da, la toate materiile"/>
    <n v="8"/>
    <s v="a) studii superioare, în același an în care am absolvit BAC-ul"/>
    <s v="d) Științe Economice"/>
    <n v="10"/>
    <s v="a) un pas/o etapa normal(ă) în viață"/>
    <s v="8,51-9,00"/>
    <n v="8"/>
    <s v="Stresantă"/>
  </r>
  <r>
    <n v="233"/>
    <n v="1996"/>
    <x v="1"/>
    <x v="30"/>
    <s v="Regiunea Sud-Est"/>
    <s v="b) Masculin"/>
    <s v="b) filiera tehnologică (profilurile tehnic, servicii, economic, resurse naturale şi protecţia mediului)"/>
    <s v="b) mediul rural"/>
    <s v="Nu a fost cazul"/>
    <n v="3"/>
    <s v="a) sub 3 luni"/>
    <n v="5"/>
    <n v="8"/>
    <n v="8"/>
    <s v="d) Nu, m-am pregătit singur(ă)"/>
    <n v="7"/>
    <s v="g) Nu am mai urmat alte studii"/>
    <s v="i) Agricultură, silvicultură, piscicultură şi ştiinţe veterinare, "/>
    <n v="5"/>
    <s v="c) o etapă în care a influențat semnificativ viitoarea mea cariera educațională"/>
    <s v="6,51-7,00"/>
    <n v="8"/>
    <s v="Nu stiu"/>
  </r>
  <r>
    <n v="234"/>
    <n v="1996"/>
    <x v="1"/>
    <x v="19"/>
    <s v="Regiunea Centru"/>
    <s v="a) Feminin"/>
    <s v="c) filiera vocaţională (profilurile militar, teologic, sportiv, artistic şi pedagogic)"/>
    <s v="a) mediul urban"/>
    <s v="Filosofie"/>
    <n v="8"/>
    <s v="e) M-am pregătit constant pe tot parcursul liceului"/>
    <n v="8"/>
    <n v="2"/>
    <n v="9"/>
    <s v="d) Nu, m-am pregătit singur(ă)"/>
    <n v="4"/>
    <s v="e) studii superioare, la peste 5 ani de la absolvirea BAC-lui"/>
    <s v="a) Educație"/>
    <n v="10"/>
    <s v="d) o etapa in care a influențat semnificativ viitoarea mea cariera educațională și profesională;"/>
    <s v="9,01-9,50"/>
    <n v="10"/>
    <s v="Ok"/>
  </r>
  <r>
    <n v="235"/>
    <n v="1996"/>
    <x v="1"/>
    <x v="27"/>
    <s v="Regiunea Nord-Vest"/>
    <s v="a) Feminin"/>
    <s v="a) filiera teoretică (profilurile umanist şi real)"/>
    <s v="a) mediul urban"/>
    <s v="Chimie"/>
    <n v="7"/>
    <s v="b) 3- 6 luni"/>
    <n v="10"/>
    <n v="1"/>
    <n v="10"/>
    <s v="d) Nu, m-am pregătit singur(ă)"/>
    <n v="5"/>
    <s v="f) studii postliceale / învățământ profesional terțiar"/>
    <s v="k) Arhitectură și urbanism"/>
    <n v="5"/>
    <s v="b) un eveniment deosebit, o reușită, o sărbătoare"/>
    <s v="9,01-9,50"/>
    <n v="10"/>
    <s v="Maturizare"/>
  </r>
  <r>
    <n v="236"/>
    <n v="1996"/>
    <x v="1"/>
    <x v="5"/>
    <s v="Regiunea Nord-Vest"/>
    <s v="a) Feminin"/>
    <s v="c) filiera vocaţională (profilurile militar, teologic, sportiv, artistic şi pedagogic)"/>
    <s v="a) mediul urban"/>
    <s v="Psihologie"/>
    <n v="8"/>
    <s v="a) sub 3 luni"/>
    <n v="10"/>
    <n v="1"/>
    <n v="3"/>
    <s v="d) Nu, m-am pregătit singur(ă)"/>
    <n v="1"/>
    <s v="a) studii superioare, în același an în care am absolvit BAC-ul"/>
    <s v="b) Arte şi ştiinţe umaniste"/>
    <n v="5"/>
    <s v="a) un pas/o etapa normal(ă) în viață"/>
    <s v="9,51-10"/>
    <n v="9"/>
    <s v="Fireasca"/>
  </r>
  <r>
    <n v="237"/>
    <n v="1996"/>
    <x v="1"/>
    <x v="10"/>
    <s v="Regiunea Sud-Muntenia"/>
    <s v="a) Feminin"/>
    <s v="a) filiera teoretică (profilurile umanist şi real)"/>
    <s v="a) mediul urban"/>
    <s v="Franceza"/>
    <n v="8"/>
    <s v="c) 6- 12 luni"/>
    <n v="1"/>
    <n v="10"/>
    <n v="5"/>
    <s v="c) Da, la toate materiile"/>
    <n v="10"/>
    <s v="b) studii superioare, la un an de la absolvire"/>
    <s v="h) Inginerie, producţie şi construcţii"/>
    <n v="10"/>
    <s v="e) o etapa în care a influențat semnificativ dezvoltarea mea personală (în sens pozitiv)"/>
    <s v="8,51-9,00"/>
    <n v="8"/>
    <s v="Un examen de maturitate"/>
  </r>
  <r>
    <n v="238"/>
    <n v="1996"/>
    <x v="1"/>
    <x v="24"/>
    <s v="Regiunea Nord-Est"/>
    <s v="a) Feminin"/>
    <s v="c) filiera vocaţională (profilurile militar, teologic, sportiv, artistic şi pedagogic)"/>
    <s v="a) mediul urban"/>
    <s v="Pedagogie și psihologie"/>
    <n v="9"/>
    <s v="e) M-am pregătit constant pe tot parcursul liceului"/>
    <n v="10"/>
    <n v="10"/>
    <n v="10"/>
    <s v="d) Nu, m-am pregătit singur(ă)"/>
    <n v="8"/>
    <s v="a) studii superioare, în același an în care am absolvit BAC-ul"/>
    <s v="a) Educație"/>
    <n v="10"/>
    <s v="a) un pas/o etapa normal(ă) în viață"/>
    <s v="9,51-10"/>
    <n v="10"/>
    <s v="Normala"/>
  </r>
  <r>
    <n v="239"/>
    <n v="1996"/>
    <x v="1"/>
    <x v="9"/>
    <s v="Regiunea Sud-Est"/>
    <s v="b) Masculin"/>
    <s v="a) filiera teoretică (profilurile umanist şi real)"/>
    <s v="b) mediul rural"/>
    <s v="Geografie"/>
    <n v="5"/>
    <s v="a) sub 3 luni"/>
    <n v="7"/>
    <n v="8"/>
    <n v="7"/>
    <s v="d) Nu, m-am pregătit singur(ă)"/>
    <n v="1"/>
    <s v="f) studii postliceale / învățământ profesional terțiar"/>
    <s v="Tehnician protecția mediului"/>
    <n v="6"/>
    <s v="b) un eveniment deosebit, o reușită, o sărbătoare"/>
    <s v="7,51-8,00"/>
    <n v="8"/>
    <s v="Examenul maturității"/>
  </r>
  <r>
    <n v="240"/>
    <n v="1996"/>
    <x v="1"/>
    <x v="26"/>
    <s v="Regiunea Sud-Vest Oltenia"/>
    <s v="a) Feminin"/>
    <s v="b) filiera tehnologică (profilurile tehnic, servicii, economic, resurse naturale şi protecţia mediului)"/>
    <s v="a) mediul urban"/>
    <s v="Nu a fost cazul"/>
    <n v="6"/>
    <s v="e) M-am pregătit constant pe tot parcursul liceului"/>
    <n v="6"/>
    <n v="10"/>
    <n v="10"/>
    <s v="b) Da, la mai multe materii"/>
    <n v="5"/>
    <s v="a) studii superioare, în același an în care am absolvit BAC-ul"/>
    <s v="h) Inginerie, producţie şi construcţii"/>
    <n v="10"/>
    <s v="a) un pas/o etapa normal(ă) în viață"/>
    <s v="9,51-10"/>
    <n v="10"/>
    <s v="Foarte bună"/>
  </r>
  <r>
    <n v="241"/>
    <n v="1996"/>
    <x v="1"/>
    <x v="32"/>
    <s v="Regiunea Sud-Vest Oltenia"/>
    <s v="a) Feminin"/>
    <s v="a) filiera teoretică (profilurile umanist şi real)"/>
    <s v="a) mediul urban"/>
    <s v="Geografie"/>
    <n v="5"/>
    <s v="b) 3- 6 luni"/>
    <n v="5"/>
    <n v="7"/>
    <n v="4"/>
    <s v="d) Nu, m-am pregătit singur(ă)"/>
    <n v="5"/>
    <s v="b) studii superioare, la un an de la absolvire"/>
    <s v="d) Științe Economice"/>
    <n v="3"/>
    <s v="a) un pas/o etapa normal(ă) în viață"/>
    <s v="8,51-9,00"/>
    <n v="9"/>
    <s v="Normal "/>
  </r>
  <r>
    <n v="242"/>
    <n v="1996"/>
    <x v="1"/>
    <x v="31"/>
    <s v="Regiunea Sud-Vest Oltenia"/>
    <s v="b) Masculin"/>
    <s v="a) filiera teoretică (profilurile umanist şi real)"/>
    <s v="b) mediul rural"/>
    <s v="Geografie"/>
    <n v="7"/>
    <s v="e) M-am pregătit constant pe tot parcursul liceului"/>
    <n v="7"/>
    <n v="7"/>
    <n v="8"/>
    <s v="d) Nu, m-am pregătit singur(ă)"/>
    <n v="5"/>
    <s v="g) Nu am mai urmat alte studii"/>
    <s v="Constructii"/>
    <n v="1"/>
    <s v="a) un pas/o etapa normal(ă) în viață"/>
    <s v="6,51-7,00"/>
    <n v="5"/>
    <s v="Maturitate! "/>
  </r>
  <r>
    <n v="243"/>
    <n v="1996"/>
    <x v="1"/>
    <x v="26"/>
    <s v="Regiunea Sud-Vest Oltenia"/>
    <s v="a) Feminin"/>
    <s v="b) filiera tehnologică (profilurile tehnic, servicii, economic, resurse naturale şi protecţia mediului)"/>
    <s v="a) mediul urban"/>
    <s v="Fizică"/>
    <n v="1"/>
    <s v="e) M-am pregătit constant pe tot parcursul liceului"/>
    <n v="10"/>
    <n v="10"/>
    <n v="10"/>
    <s v="d) Nu, m-am pregătit singur(ă)"/>
    <n v="10"/>
    <s v="a) studii superioare, în același an în care am absolvit BAC-ul"/>
    <s v="d) Științe Economice"/>
    <n v="10"/>
    <s v="b) un eveniment deosebit, o reușită, o sărbătoare"/>
    <s v="9,01-9,50"/>
    <n v="10"/>
    <s v="O experiență deosebită"/>
  </r>
  <r>
    <n v="244"/>
    <n v="1996"/>
    <x v="1"/>
    <x v="9"/>
    <s v="Regiunea Sud-Est"/>
    <s v="a) Feminin"/>
    <s v="b) filiera tehnologică (profilurile tehnic, servicii, economic, resurse naturale şi protecţia mediului)"/>
    <s v="a) mediul urban"/>
    <s v="Educație fizica "/>
    <n v="8"/>
    <s v="e) M-am pregătit constant pe tot parcursul liceului"/>
    <n v="5"/>
    <n v="10"/>
    <n v="5"/>
    <s v="d) Nu, m-am pregătit singur(ă)"/>
    <n v="8"/>
    <s v="b) studii superioare, la un an de la absolvire"/>
    <s v="d) Științe Economice"/>
    <n v="5"/>
    <s v="a) un pas/o etapa normal(ă) în viață"/>
    <s v="7,51-8,00"/>
    <n v="8"/>
    <s v="Experienta de viata"/>
  </r>
  <r>
    <n v="245"/>
    <n v="1996"/>
    <x v="1"/>
    <x v="15"/>
    <s v="Regiunea Centru"/>
    <s v="a) Feminin"/>
    <s v="b) filiera tehnologică (profilurile tehnic, servicii, economic, resurse naturale şi protecţia mediului)"/>
    <s v="a) mediul urban"/>
    <s v="Geografie"/>
    <n v="8"/>
    <s v="c) 6- 12 luni"/>
    <n v="8"/>
    <n v="10"/>
    <n v="7"/>
    <s v="b) Da, la mai multe materii"/>
    <n v="8"/>
    <s v="b) studii superioare, la un an de la absolvire"/>
    <s v="d) Științe Economice"/>
    <n v="8"/>
    <s v="b) un eveniment deosebit, o reușită, o sărbătoare"/>
    <s v="8,51-9,00"/>
    <n v="8"/>
    <s v="O provocare"/>
  </r>
  <r>
    <n v="246"/>
    <n v="1997"/>
    <x v="1"/>
    <x v="25"/>
    <s v="Regiunea Sud-Muntenia"/>
    <s v="a) Feminin"/>
    <s v="a) filiera teoretică (profilurile umanist şi real)"/>
    <s v="a) mediul urban"/>
    <s v="Chimie"/>
    <n v="3"/>
    <s v="b) 3- 6 luni"/>
    <n v="3"/>
    <n v="5"/>
    <n v="6"/>
    <s v="d) Nu, m-am pregătit singur(ă)"/>
    <n v="7"/>
    <s v="b) studii superioare, la un an de la absolvire"/>
    <s v="e) Administraţie şi drept, i) Agricultură, silvicultură, piscicultură şi ştiinţe veterinare"/>
    <n v="10"/>
    <s v="a) un pas/o etapa normal(ă) în viață"/>
    <s v="8,01-8,50"/>
    <n v="8"/>
    <s v="Foarte buna"/>
  </r>
  <r>
    <n v="247"/>
    <n v="1997"/>
    <x v="1"/>
    <x v="31"/>
    <s v="Regiunea Sud-Vest Oltenia"/>
    <s v="b) Masculin"/>
    <s v="b) filiera tehnologică (profilurile tehnic, servicii, economic, resurse naturale şi protecţia mediului)"/>
    <s v="a) mediul urban"/>
    <s v="Informatică"/>
    <n v="8"/>
    <s v="e) M-am pregătit constant pe tot parcursul liceului"/>
    <n v="10"/>
    <n v="5"/>
    <n v="8"/>
    <s v="d) Nu, m-am pregătit singur(ă)"/>
    <n v="5"/>
    <s v="c) studii superioare, la 2-3 ani de la absolvire"/>
    <s v="d) Științe Economice"/>
    <n v="5"/>
    <s v="a) un pas/o etapa normal(ă) în viață"/>
    <s v="7,01-7,50"/>
    <n v="7"/>
    <s v="Normală"/>
  </r>
  <r>
    <n v="248"/>
    <n v="1997"/>
    <x v="1"/>
    <x v="1"/>
    <s v="Regiunea Sud-Est"/>
    <s v="b) Masculin"/>
    <s v="a) filiera teoretică (profilurile umanist şi real)"/>
    <s v="a) mediul urban"/>
    <s v="Filosofie"/>
    <n v="4"/>
    <s v="c) 6- 12 luni"/>
    <n v="7"/>
    <n v="5"/>
    <n v="7"/>
    <s v="d) Nu, m-am pregătit singur(ă)"/>
    <n v="5"/>
    <s v="a) studii superioare, în același an în care am absolvit BAC-ul"/>
    <s v="d) Științe Economice, g) Tehnologia informaţiei şi a comunicaţiilor, h) Inginerie, producţie şi construcţii"/>
    <n v="10"/>
    <s v="a) un pas/o etapa normal(ă) în viață"/>
    <s v="7,01-7,50"/>
    <n v="7"/>
    <s v="Normalitate"/>
  </r>
  <r>
    <n v="249"/>
    <n v="1997"/>
    <x v="1"/>
    <x v="1"/>
    <s v="Regiunea Sud-Est"/>
    <s v="a) Feminin"/>
    <s v="a) filiera teoretică (profilurile umanist şi real)"/>
    <s v="b) mediul rural"/>
    <s v="Chimie"/>
    <n v="5"/>
    <s v="e) M-am pregătit constant pe tot parcursul liceului"/>
    <n v="10"/>
    <n v="1"/>
    <n v="1"/>
    <s v="d) Nu, m-am pregătit singur(ă)"/>
    <n v="10"/>
    <s v="b) studii superioare, la un an de la absolvire"/>
    <s v="j) Sănătate şi asistenţă socială"/>
    <n v="4"/>
    <s v="a) un pas/o etapa normal(ă) în viață"/>
    <s v="9,01-9,50"/>
    <n v="7"/>
    <s v="Stresant"/>
  </r>
  <r>
    <n v="250"/>
    <n v="1997"/>
    <x v="1"/>
    <x v="6"/>
    <s v="Regiunea București-Ilfov"/>
    <s v="b) Masculin"/>
    <s v="b) filiera tehnologică (profilurile tehnic, servicii, economic, resurse naturale şi protecţia mediului)"/>
    <s v="a) mediul urban"/>
    <s v="Geografie"/>
    <n v="7"/>
    <s v="b) 3- 6 luni"/>
    <n v="8"/>
    <n v="8"/>
    <n v="8"/>
    <s v="d) Nu, m-am pregătit singur(ă)"/>
    <n v="7"/>
    <s v="a) studii superioare, în același an în care am absolvit BAC-ul"/>
    <s v="d) Științe Economice"/>
    <n v="5"/>
    <s v="a) un pas/o etapa normal(ă) în viață"/>
    <s v="9,01-9,50"/>
    <n v="9"/>
    <s v="buna"/>
  </r>
  <r>
    <n v="251"/>
    <n v="1997"/>
    <x v="1"/>
    <x v="39"/>
    <s v="Regiunea Centru"/>
    <s v="a) Feminin"/>
    <s v="b) filiera tehnologică (profilurile tehnic, servicii, economic, resurse naturale şi protecţia mediului)"/>
    <s v="a) mediul urban"/>
    <s v="Geografie"/>
    <n v="8"/>
    <s v="c) 6- 12 luni"/>
    <n v="8"/>
    <n v="10"/>
    <n v="9"/>
    <s v="b) Da, la mai multe materii"/>
    <n v="8"/>
    <s v="c) studii superioare, la 2-3 ani de la absolvire, f) studii postliceale / învățământ profesional terțiar"/>
    <s v="d) Științe Economice"/>
    <n v="8"/>
    <s v="d) o etapa in care a influențat semnificativ viitoarea mea cariera educațională și profesională;"/>
    <s v="7,01-7,50"/>
    <n v="5"/>
    <s v="greu"/>
  </r>
  <r>
    <n v="252"/>
    <n v="1997"/>
    <x v="1"/>
    <x v="24"/>
    <s v="Regiunea Nord-Est"/>
    <s v="a) Feminin"/>
    <s v="a) filiera teoretică (profilurile umanist şi real)"/>
    <s v="a) mediul urban"/>
    <s v="Geografie"/>
    <n v="8"/>
    <s v="b) 3- 6 luni"/>
    <n v="8"/>
    <n v="10"/>
    <n v="7"/>
    <s v="a) Da, la una dintre materii"/>
    <n v="10"/>
    <s v="e) studii superioare, la peste 5 ani de la absolvirea BAC-lui"/>
    <s v="d) Științe Economice"/>
    <n v="6"/>
    <s v="d) o etapa in care a influențat semnificativ viitoarea mea cariera educațională și profesională;"/>
    <s v="8,51-9,00"/>
    <n v="6"/>
    <s v="Buna"/>
  </r>
  <r>
    <n v="253"/>
    <n v="1997"/>
    <x v="1"/>
    <x v="6"/>
    <s v="Regiunea București-Ilfov"/>
    <s v="a) Feminin"/>
    <s v="c) filiera vocaţională (profilurile militar, teologic, sportiv, artistic şi pedagogic)"/>
    <s v="a) mediul urban"/>
    <s v="Psihologie"/>
    <n v="10"/>
    <s v="d) 12- 24 luni"/>
    <n v="8"/>
    <n v="10"/>
    <n v="5"/>
    <s v="a) Da, la una dintre materii"/>
    <n v="10"/>
    <s v="d) studii superioare, la 3-5 ani de la absolvire"/>
    <s v="a) Educație"/>
    <n v="10"/>
    <s v="b) un eveniment deosebit, o reușită, o sărbătoare, d) o etapa in care a influențat semnificativ viitoarea mea cariera educațională și profesională;"/>
    <s v="9,51-10"/>
    <n v="10"/>
    <s v="Stresantă "/>
  </r>
  <r>
    <n v="254"/>
    <n v="1997"/>
    <x v="1"/>
    <x v="1"/>
    <s v="Regiunea Sud-Est"/>
    <s v="a) Feminin"/>
    <s v="a) filiera teoretică (profilurile umanist şi real)"/>
    <s v="a) mediul urban"/>
    <s v="Logică, argumentare și comunicare"/>
    <n v="10"/>
    <s v="d) 12- 24 luni"/>
    <n v="10"/>
    <n v="10"/>
    <n v="7"/>
    <s v="a) Da, la una dintre materii"/>
    <n v="8"/>
    <s v="b) studii superioare, la un an de la absolvire"/>
    <s v="h) Inginerie, producţie şi construcţii"/>
    <n v="8"/>
    <s v="a) un pas/o etapa normal(ă) în viață"/>
    <s v="7,01-7,50"/>
    <n v="7"/>
    <s v="Ok"/>
  </r>
  <r>
    <n v="255"/>
    <n v="1997"/>
    <x v="1"/>
    <x v="11"/>
    <s v="Regiunea Sud-Vest Oltenia"/>
    <s v="a) Feminin"/>
    <s v="a) filiera teoretică (profilurile umanist şi real)"/>
    <s v="a) mediul urban"/>
    <s v="Fizică"/>
    <n v="9"/>
    <s v="e) M-am pregătit constant pe tot parcursul liceului"/>
    <n v="8"/>
    <n v="8"/>
    <n v="8"/>
    <s v="b) Da, la mai multe materii"/>
    <n v="8"/>
    <s v="c) studii superioare, la 2-3 ani de la absolvire"/>
    <s v="c) Ştiinţe sociale, jurnalism şi informare"/>
    <n v="5"/>
    <s v="a) un pas/o etapa normal(ă) în viață"/>
    <s v="8,51-9,00"/>
    <n v="7"/>
    <s v="Buna"/>
  </r>
  <r>
    <n v="256"/>
    <n v="1997"/>
    <x v="1"/>
    <x v="30"/>
    <s v="Regiunea Sud-Est"/>
    <s v="a) Feminin"/>
    <s v="b) filiera tehnologică (profilurile tehnic, servicii, economic, resurse naturale şi protecţia mediului)"/>
    <s v="a) mediul urban"/>
    <s v="Economie"/>
    <n v="8"/>
    <s v="e) M-am pregătit constant pe tot parcursul liceului"/>
    <n v="8"/>
    <n v="3"/>
    <n v="5"/>
    <s v="d) Nu, m-am pregătit singur(ă)"/>
    <n v="9"/>
    <s v="a) studii superioare, în același an în care am absolvit BAC-ul"/>
    <s v="d) Științe Economice"/>
    <n v="10"/>
    <s v="a) un pas/o etapa normal(ă) în viață"/>
    <s v="8,51-9,00"/>
    <n v="8"/>
    <s v="Seriozitate "/>
  </r>
  <r>
    <n v="257"/>
    <n v="1997"/>
    <x v="1"/>
    <x v="29"/>
    <s v="Regiunea Sud-Muntenia"/>
    <s v="b) Masculin"/>
    <s v="a) filiera teoretică (profilurile umanist şi real)"/>
    <s v="a) mediul urban"/>
    <s v="Geografie"/>
    <n v="9"/>
    <s v="c) 6- 12 luni"/>
    <n v="5"/>
    <n v="9"/>
    <n v="5"/>
    <s v="b) Da, la mai multe materii"/>
    <n v="10"/>
    <s v="b) studii superioare, la un an de la absolvire"/>
    <s v="a) Educație"/>
    <n v="9"/>
    <s v="c) o etapă în care a influențat semnificativ viitoarea mea cariera educațională"/>
    <s v="7,01-7,50"/>
    <n v="3"/>
    <s v="Dificil "/>
  </r>
  <r>
    <n v="258"/>
    <n v="1997"/>
    <x v="1"/>
    <x v="38"/>
    <s v="Regiunea Sud-Muntenia"/>
    <s v="a) Feminin"/>
    <s v="a) filiera teoretică (profilurile umanist şi real)"/>
    <s v="a) mediul urban"/>
    <s v="Geografie"/>
    <n v="10"/>
    <s v="c) 6- 12 luni"/>
    <n v="9"/>
    <n v="10"/>
    <n v="7"/>
    <s v="d) Nu, m-am pregătit singur(ă)"/>
    <n v="10"/>
    <s v="b) studii superioare, la un an de la absolvire"/>
    <s v="a) Educație"/>
    <n v="10"/>
    <s v="a) un pas/o etapa normal(ă) în viață"/>
    <s v="8,51-9,00"/>
    <n v="9"/>
    <s v="O experienta necesara"/>
  </r>
  <r>
    <n v="259"/>
    <n v="1997"/>
    <x v="1"/>
    <x v="30"/>
    <s v="Regiunea Sud-Est"/>
    <s v="b) Masculin"/>
    <s v="b) filiera tehnologică (profilurile tehnic, servicii, economic, resurse naturale şi protecţia mediului)"/>
    <s v="a) mediul urban"/>
    <s v="Geografie"/>
    <n v="8"/>
    <s v="c) 6- 12 luni"/>
    <n v="7"/>
    <n v="10"/>
    <n v="8"/>
    <s v="d) Nu, m-am pregătit singur(ă)"/>
    <n v="9"/>
    <s v="c) studii superioare, la 2-3 ani de la absolvire, d) studii superioare, la 3-5 ani de la absolvire, f) studii postliceale / învățământ profesional terțiar"/>
    <s v="d) Științe Economice, e) Administraţie şi drept"/>
    <n v="9"/>
    <s v="a) un pas/o etapa normal(ă) în viață, c) o etapă în care a influențat semnificativ viitoarea mea cariera educațională, d) o etapa in care a influențat semnificativ viitoarea mea cariera educațională și profesională;, e) o etapa în care a influențat semnificativ dezvoltarea mea personală (în sens pozitiv)"/>
    <s v="6,51-7,00"/>
    <n v="7"/>
    <s v="Buna"/>
  </r>
  <r>
    <n v="260"/>
    <n v="1997"/>
    <x v="1"/>
    <x v="17"/>
    <s v="Regiunea Nord-Vest"/>
    <s v="b) Masculin"/>
    <s v="a) filiera teoretică (profilurile umanist şi real)"/>
    <s v="a) mediul urban"/>
    <s v="Filosofie"/>
    <n v="6"/>
    <s v="c) 6- 12 luni"/>
    <n v="9"/>
    <n v="10"/>
    <n v="10"/>
    <s v="d) Nu, m-am pregătit singur(ă)"/>
    <n v="7"/>
    <s v="a) studii superioare, în același an în care am absolvit BAC-ul"/>
    <s v="a) Educație, h) Inginerie, producţie şi construcţii"/>
    <n v="3"/>
    <s v="a) un pas/o etapa normal(ă) în viață"/>
    <s v="9,01-9,50"/>
    <n v="8"/>
    <s v="Normala"/>
  </r>
  <r>
    <n v="261"/>
    <n v="2020"/>
    <x v="2"/>
    <x v="8"/>
    <s v="Regiunea Nord-Est"/>
    <s v="a) Feminin"/>
    <s v="a) filiera teoretică (profilurile umanist şi real)"/>
    <s v="a) mediul urban"/>
    <s v="Biologie"/>
    <n v="8"/>
    <s v="b) 3- 6 luni"/>
    <n v="6"/>
    <n v="5"/>
    <n v="8"/>
    <s v="a) Da, la una dintre materii"/>
    <n v="8"/>
    <s v="a) studii superioare, în același an în care am absolvit BAC-ul"/>
    <s v="j) Sănătate şi asistenţă socială"/>
    <n v="10"/>
    <s v="c) o etapă în care a influențat semnificativ viitoarea mea cariera educațională, e) o etapa în care a influențat semnificativ dezvoltarea mea personală (în sens pozitiv)"/>
    <s v="9,01-9,50"/>
    <n v="9"/>
    <s v="Obositor "/>
  </r>
  <r>
    <n v="262"/>
    <n v="2020"/>
    <x v="2"/>
    <x v="8"/>
    <s v="Regiunea Nord-Est"/>
    <s v="a) Feminin"/>
    <s v="a) filiera teoretică (profilurile umanist şi real)"/>
    <s v="a) mediul urban"/>
    <s v="Biologie"/>
    <n v="10"/>
    <s v="e) M-am pregătit constant pe tot parcursul liceului"/>
    <n v="7"/>
    <n v="1"/>
    <n v="2"/>
    <s v="a) Da, la una dintre materii"/>
    <n v="10"/>
    <s v="b) studii superioare, la un an de la absolvire"/>
    <s v="a) Educație"/>
    <n v="7"/>
    <s v="a) un pas/o etapa normal(ă) în viață, c) o etapă în care a influențat semnificativ viitoarea mea cariera educațională"/>
    <s v="7,51-8,00"/>
    <n v="4"/>
    <s v="Stresantă "/>
  </r>
  <r>
    <n v="263"/>
    <n v="2020"/>
    <x v="2"/>
    <x v="25"/>
    <s v="Regiunea Sud-Muntenia"/>
    <s v="b) Masculin"/>
    <s v="a) filiera teoretică (profilurile umanist şi real)"/>
    <s v="a) mediul urban"/>
    <s v="Logică, argumentare și comunicare"/>
    <n v="8"/>
    <s v="c) 6- 12 luni"/>
    <n v="6"/>
    <n v="10"/>
    <n v="5"/>
    <s v="d) Nu, m-am pregătit singur(ă)"/>
    <n v="9"/>
    <s v="c) studii superioare, la 2-3 ani de la absolvire"/>
    <s v="i) Agricultură, silvicultură, piscicultură şi ştiinţe veterinare"/>
    <n v="2"/>
    <s v="e) o etapa în care a influențat semnificativ dezvoltarea mea personală (în sens pozitiv)"/>
    <s v="8,01-8,50"/>
    <n v="9"/>
    <s v="Stresant "/>
  </r>
  <r>
    <n v="264"/>
    <n v="2020"/>
    <x v="2"/>
    <x v="25"/>
    <s v="Regiunea Sud-Muntenia"/>
    <s v="a) Feminin"/>
    <s v="a) filiera teoretică (profilurile umanist şi real)"/>
    <s v="a) mediul urban"/>
    <s v="Geografie"/>
    <n v="9"/>
    <s v="b) 3- 6 luni"/>
    <n v="8"/>
    <n v="6"/>
    <n v="6"/>
    <s v="a) Da, la una dintre materii"/>
    <n v="10"/>
    <s v="a) studii superioare, în același an în care am absolvit BAC-ul"/>
    <s v="e) Administraţie şi drept"/>
    <n v="9"/>
    <s v="a) un pas/o etapa normal(ă) în viață, d) o etapa in care a influențat semnificativ viitoarea mea cariera educațională și profesională;, e) o etapa în care a influențat semnificativ dezvoltarea mea personală (în sens pozitiv)"/>
    <s v="9,01-9,50"/>
    <n v="8"/>
    <s v="stresanta"/>
  </r>
  <r>
    <n v="265"/>
    <n v="2020"/>
    <x v="2"/>
    <x v="5"/>
    <s v="Regiunea Nord-Vest"/>
    <s v="a) Feminin"/>
    <s v="a) filiera teoretică (profilurile umanist şi real)"/>
    <s v="a) mediul urban"/>
    <s v="Geografie"/>
    <n v="10"/>
    <s v="e) M-am pregătit constant pe tot parcursul liceului"/>
    <n v="5"/>
    <n v="9"/>
    <n v="4"/>
    <s v="c) Da, la toate materiile"/>
    <n v="10"/>
    <s v="b) studii superioare, la un an de la absolvire"/>
    <s v="a) Educație"/>
    <n v="8"/>
    <s v="a) un pas/o etapa normal(ă) în viață"/>
    <s v="9,51-10"/>
    <n v="9"/>
    <s v="Stresanta"/>
  </r>
  <r>
    <n v="266"/>
    <n v="2020"/>
    <x v="2"/>
    <x v="24"/>
    <s v="Regiunea Nord-Est"/>
    <s v="a) Feminin"/>
    <s v="a) filiera teoretică (profilurile umanist şi real)"/>
    <s v="a) mediul urban"/>
    <s v="Informatică"/>
    <n v="9"/>
    <s v="c) 6- 12 luni"/>
    <n v="6"/>
    <n v="10"/>
    <n v="9"/>
    <s v="b) Da, la mai multe materii"/>
    <n v="10"/>
    <s v="a) studii superioare, în același an în care am absolvit BAC-ul"/>
    <s v="d) Științe Economice"/>
    <n v="8"/>
    <s v="b) un eveniment deosebit, o reușită, o sărbătoare"/>
    <s v="9,01-9,50"/>
    <n v="9"/>
    <s v="Ok"/>
  </r>
  <r>
    <n v="267"/>
    <n v="2020"/>
    <x v="2"/>
    <x v="1"/>
    <s v="Regiunea Sud-Est"/>
    <s v="a) Feminin"/>
    <s v="c) filiera vocaţională (profilurile militar, teologic, sportiv, artistic şi pedagogic)"/>
    <s v="a) mediul urban"/>
    <s v="Pedagogie "/>
    <n v="6"/>
    <s v="c) 6- 12 luni"/>
    <n v="5"/>
    <n v="10"/>
    <n v="8"/>
    <s v="a) Da, la una dintre materii"/>
    <n v="8"/>
    <s v="a) studii superioare, în același an în care am absolvit BAC-ul"/>
    <s v="a) Educație"/>
    <n v="10"/>
    <s v="c) o etapă în care a influențat semnificativ viitoarea mea cariera educațională"/>
    <s v="8,01-8,50"/>
    <n v="8"/>
    <s v="Multă muncă "/>
  </r>
  <r>
    <n v="268"/>
    <n v="2020"/>
    <x v="2"/>
    <x v="14"/>
    <s v="Regiunea Nord-Est"/>
    <s v="b) Masculin"/>
    <s v="a) filiera teoretică (profilurile umanist şi real)"/>
    <s v="a) mediul urban"/>
    <s v="Geografie"/>
    <n v="4"/>
    <s v="a) sub 3 luni"/>
    <n v="8"/>
    <n v="5"/>
    <n v="7"/>
    <s v="d) Nu, m-am pregătit singur(ă)"/>
    <n v="7"/>
    <s v="a) studii superioare, în același an în care am absolvit BAC-ul"/>
    <s v="e) Administraţie şi drept"/>
    <n v="8"/>
    <s v="a) un pas/o etapa normal(ă) în viață"/>
    <s v="9,01-9,50"/>
    <n v="9"/>
    <s v="normala"/>
  </r>
  <r>
    <n v="269"/>
    <n v="2020"/>
    <x v="2"/>
    <x v="25"/>
    <s v="Regiunea Sud-Muntenia"/>
    <s v="a) Feminin"/>
    <s v="b) filiera tehnologică (profilurile tehnic, servicii, economic, resurse naturale şi protecţia mediului)"/>
    <s v="a) mediul urban"/>
    <s v="Geografie"/>
    <n v="7"/>
    <s v="e) M-am pregătit constant pe tot parcursul liceului"/>
    <n v="8"/>
    <n v="8"/>
    <n v="5"/>
    <s v="d) Nu, m-am pregătit singur(ă)"/>
    <n v="10"/>
    <s v="d) studii superioare, la 3-5 ani de la absolvire"/>
    <s v="d) Științe Economice"/>
    <n v="8"/>
    <s v="a) un pas/o etapa normal(ă) în viață"/>
    <s v="7,51-8,00"/>
    <n v="8"/>
    <s v="MATURITATE"/>
  </r>
  <r>
    <n v="270"/>
    <n v="2020"/>
    <x v="2"/>
    <x v="35"/>
    <s v="Regiunea Centru"/>
    <s v="a) Feminin"/>
    <s v="b) filiera tehnologică (profilurile tehnic, servicii, economic, resurse naturale şi protecţia mediului)"/>
    <s v="a) mediul urban"/>
    <s v="Geografie"/>
    <n v="7"/>
    <s v="a) sub 3 luni"/>
    <n v="8"/>
    <n v="5"/>
    <n v="8"/>
    <s v="d) Nu, m-am pregătit singur(ă)"/>
    <n v="10"/>
    <s v="a) studii superioare, în același an în care am absolvit BAC-ul"/>
    <s v="d) Științe Economice"/>
    <n v="9"/>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8,51-9,00"/>
    <n v="10"/>
    <s v="ok"/>
  </r>
  <r>
    <n v="271"/>
    <n v="2021"/>
    <x v="2"/>
    <x v="8"/>
    <s v="Regiunea Nord-Est"/>
    <s v="a) Feminin"/>
    <s v="a) filiera teoretică (profilurile umanist şi real)"/>
    <s v="a) mediul urban"/>
    <s v="Informatică"/>
    <n v="6"/>
    <s v="b) 3- 6 luni"/>
    <n v="6"/>
    <n v="8"/>
    <n v="4"/>
    <s v="d) Nu, m-am pregătit singur(ă)"/>
    <n v="9"/>
    <s v="a) studii superioare, în același an în care am absolvit BAC-ul"/>
    <s v="h) Inginerie, producţie şi construcţii"/>
    <n v="10"/>
    <s v="a) un pas/o etapa normal(ă) în viață"/>
    <s v="9,01-9,50"/>
    <n v="8"/>
    <s v="Stres "/>
  </r>
  <r>
    <n v="272"/>
    <n v="2021"/>
    <x v="2"/>
    <x v="8"/>
    <s v="Regiunea Nord-Est"/>
    <s v="a) Feminin"/>
    <s v="b) filiera tehnologică (profilurile tehnic, servicii, economic, resurse naturale şi protecţia mediului)"/>
    <s v="a) mediul urban"/>
    <s v="Biologie"/>
    <n v="7"/>
    <s v="b) 3- 6 luni"/>
    <n v="5"/>
    <n v="6"/>
    <n v="5"/>
    <s v="a) Da, la una dintre materii"/>
    <n v="10"/>
    <s v="b) studii superioare, la un an de la absolvire"/>
    <s v="h) Inginerie, producţie şi construcţii"/>
    <n v="6"/>
    <s v="a) un pas/o etapa normal(ă) în viață, b) un eveniment deosebit, o reușită, o sărbătoare"/>
    <s v="7,01-7,50"/>
    <n v="8"/>
    <s v="Stresantă "/>
  </r>
  <r>
    <n v="273"/>
    <n v="2021"/>
    <x v="2"/>
    <x v="0"/>
    <s v="Regiunea Nord-Est"/>
    <s v="a) Feminin"/>
    <s v="a) filiera teoretică (profilurile umanist şi real)"/>
    <s v="a) mediul urban"/>
    <s v="Biologie"/>
    <n v="4"/>
    <s v="c) 6- 12 luni"/>
    <n v="10"/>
    <n v="9"/>
    <n v="9"/>
    <s v="b) Da, la mai multe materii"/>
    <n v="10"/>
    <s v="a) studii superioare, în același an în care am absolvit BAC-ul"/>
    <s v="Electronică aplicată "/>
    <n v="3"/>
    <s v="a) un pas/o etapa normal(ă) în viață"/>
    <s v="9,01-9,50"/>
    <n v="7"/>
    <s v="Nimic special "/>
  </r>
  <r>
    <n v="274"/>
    <n v="2021"/>
    <x v="2"/>
    <x v="24"/>
    <s v="Regiunea Nord-Est"/>
    <s v="a) Feminin"/>
    <s v="a) filiera teoretică (profilurile umanist şi real)"/>
    <s v="a) mediul urban"/>
    <s v="Biologie"/>
    <n v="1"/>
    <s v="b) 3- 6 luni"/>
    <n v="5"/>
    <n v="10"/>
    <n v="8"/>
    <s v="b) Da, la mai multe materii"/>
    <n v="3"/>
    <s v="a) studii superioare, în același an în care am absolvit BAC-ul"/>
    <s v="Computer Science "/>
    <n v="5"/>
    <s v="d) o etapa in care a influențat semnificativ viitoarea mea cariera educațională și profesională;"/>
    <s v="8,51-9,00"/>
    <n v="9"/>
    <s v="Buna"/>
  </r>
  <r>
    <n v="275"/>
    <n v="2021"/>
    <x v="2"/>
    <x v="6"/>
    <s v="Regiunea București-Ilfov"/>
    <s v="a) Feminin"/>
    <s v="a) filiera teoretică (profilurile umanist şi real)"/>
    <s v="a) mediul urban"/>
    <s v="Informatică"/>
    <n v="5"/>
    <s v="e) M-am pregătit constant pe tot parcursul liceului"/>
    <n v="8"/>
    <n v="10"/>
    <n v="10"/>
    <s v="b) Da, la mai multe materii"/>
    <n v="6"/>
    <s v="a) studii superioare, în același an în care am absolvit BAC-ul"/>
    <s v="a) Educație, d) Științe Economice"/>
    <n v="9"/>
    <s v="d) o etapa in care a influențat semnificativ viitoarea mea cariera educațională și profesională;"/>
    <s v="9,01-9,50"/>
    <n v="8"/>
    <s v="Constanta"/>
  </r>
  <r>
    <n v="276"/>
    <n v="2021"/>
    <x v="2"/>
    <x v="34"/>
    <s v="Regiunea Nord-Est"/>
    <s v="b) Masculin"/>
    <s v="a) filiera teoretică (profilurile umanist şi real)"/>
    <s v="a) mediul urban"/>
    <s v="Biologie"/>
    <n v="6"/>
    <s v="e) M-am pregătit constant pe tot parcursul liceului"/>
    <n v="8"/>
    <n v="6"/>
    <n v="10"/>
    <s v="d) Nu, m-am pregătit singur(ă)"/>
    <n v="6"/>
    <s v="a) studii superioare, în același an în care am absolvit BAC-ul"/>
    <s v="j) Sănătate şi asistenţă socială"/>
    <n v="1"/>
    <s v="a) un pas/o etapa normal(ă) în viață"/>
    <s v="8,51-9,00"/>
    <n v="10"/>
    <s v="Ok"/>
  </r>
  <r>
    <n v="277"/>
    <n v="2021"/>
    <x v="2"/>
    <x v="29"/>
    <s v="Regiunea Sud-Muntenia"/>
    <s v="b) Masculin"/>
    <s v="a) filiera teoretică (profilurile umanist şi real)"/>
    <s v="a) mediul urban"/>
    <s v="Fizică"/>
    <n v="6"/>
    <s v="d) 12- 24 luni"/>
    <n v="3"/>
    <n v="9"/>
    <n v="4"/>
    <s v="c) Da, la toate materiile"/>
    <n v="9"/>
    <s v="a) studii superioare, în același an în care am absolvit BAC-ul"/>
    <s v="d) Științe Economice"/>
    <n v="9"/>
    <s v="a) un pas/o etapa normal(ă) în viață"/>
    <s v="9,01-9,50"/>
    <n v="9"/>
    <s v="Stresantă"/>
  </r>
  <r>
    <n v="278"/>
    <n v="2021"/>
    <x v="2"/>
    <x v="24"/>
    <s v="Regiunea Nord-Est"/>
    <s v="b) Masculin"/>
    <s v="a) filiera teoretică (profilurile umanist şi real)"/>
    <s v="a) mediul urban"/>
    <s v="Fizică"/>
    <n v="6"/>
    <s v="b) 3- 6 luni"/>
    <n v="3"/>
    <n v="7"/>
    <n v="5"/>
    <s v="b) Da, la mai multe materii"/>
    <n v="8"/>
    <s v="b) studii superioare, la un an de la absolvire"/>
    <s v="d) Științe Economice, e) Administraţie şi drept"/>
    <n v="2"/>
    <s v="a) un pas/o etapa normal(ă) în viață"/>
    <s v="9,01-9,50"/>
    <n v="9"/>
    <s v="Stresantă "/>
  </r>
  <r>
    <n v="279"/>
    <n v="2021"/>
    <x v="2"/>
    <x v="15"/>
    <s v="Regiunea Centru"/>
    <s v="a) Feminin"/>
    <s v="a) filiera teoretică (profilurile umanist şi real)"/>
    <s v="a) mediul urban"/>
    <s v="Chimie"/>
    <n v="5"/>
    <s v="e) M-am pregătit constant pe tot parcursul liceului"/>
    <n v="8"/>
    <n v="10"/>
    <n v="9"/>
    <s v="b) Da, la mai multe materii"/>
    <n v="7"/>
    <s v="a) studii superioare, în același an în care am absolvit BAC-ul"/>
    <s v="f) Ştiinţele naturii, matematică şi statistică"/>
    <n v="8"/>
    <s v="a) un pas/o etapa normal(ă) în viață, b) un eveniment deosebit, o reușită, o sărbătoare, e) o etapa în care a influențat semnificativ dezvoltarea mea personală (în sens pozitiv)"/>
    <s v="9,01-9,50"/>
    <n v="8"/>
    <s v="Interesantă"/>
  </r>
  <r>
    <n v="280"/>
    <n v="2021"/>
    <x v="2"/>
    <x v="16"/>
    <s v="Regiunea Vest"/>
    <s v="a) Feminin"/>
    <s v="c) filiera vocaţională (profilurile militar, teologic, sportiv, artistic şi pedagogic)"/>
    <s v="a) mediul urban"/>
    <s v="Geografie"/>
    <n v="8"/>
    <s v="e) M-am pregătit constant pe tot parcursul liceului"/>
    <n v="8"/>
    <n v="7"/>
    <n v="7"/>
    <s v="d) Nu, m-am pregătit singur(ă)"/>
    <n v="10"/>
    <s v="a) studii superioare, în același an în care am absolvit BAC-ul, f) studii postliceale / învățământ profesional terțiar"/>
    <s v="a) Educație"/>
    <n v="8"/>
    <s v="a) un pas/o etapa normal(ă) în viață"/>
    <s v="9,51-10"/>
    <n v="9"/>
    <s v="Stresanta "/>
  </r>
  <r>
    <n v="281"/>
    <n v="2021"/>
    <x v="2"/>
    <x v="34"/>
    <s v="Regiunea Nord-Est"/>
    <s v="a) Feminin"/>
    <s v="a) filiera teoretică (profilurile umanist şi real)"/>
    <s v="a) mediul urban"/>
    <s v="Logică, argumentare și comunicare"/>
    <n v="8"/>
    <s v="d) 12- 24 luni"/>
    <n v="9"/>
    <n v="10"/>
    <n v="10"/>
    <s v="c) Da, la toate materiile"/>
    <n v="10"/>
    <s v="a) studii superioare, în același an în care am absolvit BAC-ul"/>
    <s v="a) Educație"/>
    <n v="6"/>
    <s v="a) un pas/o etapa normal(ă) în viață, b) un eveniment deosebit, o reușită, o sărbătoare, e) o etapa în care a influențat semnificativ dezvoltarea mea personală (în sens pozitiv)"/>
    <s v="8,51-9,00"/>
    <n v="8"/>
    <s v="Stresantă"/>
  </r>
  <r>
    <n v="282"/>
    <n v="2021"/>
    <x v="2"/>
    <x v="21"/>
    <s v="Regiunea Sud-Muntenia"/>
    <s v="a) Feminin"/>
    <s v="a) filiera teoretică (profilurile umanist şi real)"/>
    <s v="a) mediul urban"/>
    <s v="Biologie"/>
    <n v="5"/>
    <s v="c) 6- 12 luni"/>
    <n v="3"/>
    <n v="3"/>
    <n v="5"/>
    <s v="a) Da, la una dintre materii"/>
    <n v="3"/>
    <s v="a) studii superioare, în același an în care am absolvit BAC-ul"/>
    <s v="d) Științe Economice"/>
    <n v="9"/>
    <s v="a) un pas/o etapa normal(ă) în viață, b) un eveniment deosebit, o reușită, o sărbătoare, d) o etapa in care a influențat semnificativ viitoarea mea cariera educațională și profesională;"/>
    <s v="8,51-9,00"/>
    <n v="9"/>
    <s v="Frumoasa "/>
  </r>
  <r>
    <n v="283"/>
    <n v="2021"/>
    <x v="2"/>
    <x v="21"/>
    <s v="Regiunea Sud-Muntenia"/>
    <s v="b) Masculin"/>
    <s v="b) filiera tehnologică (profilurile tehnic, servicii, economic, resurse naturale şi protecţia mediului)"/>
    <s v="a) mediul urban"/>
    <s v="Logică, argumentare și comunicare"/>
    <n v="2"/>
    <s v="d) 12- 24 luni"/>
    <n v="8"/>
    <n v="10"/>
    <n v="8"/>
    <s v="a) Da, la una dintre materii"/>
    <n v="7"/>
    <s v="a) studii superioare, în același an în care am absolvit BAC-ul"/>
    <s v="d) Științe Economice"/>
    <n v="6"/>
    <s v="a) un pas/o etapa normal(ă) în viață"/>
    <s v="8,51-9,00"/>
    <n v="7"/>
    <s v="Foarte bună "/>
  </r>
  <r>
    <n v="284"/>
    <n v="2021"/>
    <x v="2"/>
    <x v="6"/>
    <s v="Regiunea București-Ilfov"/>
    <s v="b) Masculin"/>
    <s v="a) filiera teoretică (profilurile umanist şi real)"/>
    <s v="a) mediul urban"/>
    <s v="Biologie"/>
    <n v="5"/>
    <s v="c) 6- 12 luni"/>
    <n v="5"/>
    <n v="10"/>
    <n v="6"/>
    <s v="c) Da, la toate materiile"/>
    <n v="7"/>
    <s v="a) studii superioare, în același an în care am absolvit BAC-ul"/>
    <s v="d) Științe Economice"/>
    <n v="6"/>
    <s v="c) o etapă în care a influențat semnificativ viitoarea mea cariera educațională"/>
    <s v="7,51-8,00"/>
    <n v="6"/>
    <s v="Buna"/>
  </r>
  <r>
    <n v="285"/>
    <n v="2021"/>
    <x v="2"/>
    <x v="29"/>
    <s v="Regiunea Sud-Muntenia"/>
    <s v="a) Feminin"/>
    <s v="a) filiera teoretică (profilurile umanist şi real)"/>
    <s v="a) mediul urban"/>
    <s v="Biologie"/>
    <n v="6"/>
    <s v="c) 6- 12 luni"/>
    <n v="10"/>
    <n v="10"/>
    <n v="10"/>
    <s v="b) Da, la mai multe materii"/>
    <n v="6"/>
    <s v="a) studii superioare, în același an în care am absolvit BAC-ul"/>
    <s v="Finanțe bănci "/>
    <n v="10"/>
    <s v="d) o etapa in care a influențat semnificativ viitoarea mea cariera educațională și profesională;"/>
    <s v="6,51-7,00"/>
    <n v="8"/>
    <s v="DETERMINARE"/>
  </r>
  <r>
    <n v="286"/>
    <n v="2021"/>
    <x v="2"/>
    <x v="6"/>
    <s v="Regiunea București-Ilfov"/>
    <s v="a) Feminin"/>
    <s v="a) filiera teoretică (profilurile umanist şi real)"/>
    <s v="a) mediul urban"/>
    <s v="Geografie"/>
    <n v="7"/>
    <s v="a) sub 3 luni"/>
    <n v="7"/>
    <n v="9"/>
    <n v="8"/>
    <s v="d) Nu, m-am pregătit singur(ă)"/>
    <n v="8"/>
    <s v="a) studii superioare, în același an în care am absolvit BAC-ul"/>
    <s v="c) Ştiinţe sociale, jurnalism şi informare"/>
    <n v="8"/>
    <s v="a) un pas/o etapa normal(ă) în viață"/>
    <s v="7,51-8,00"/>
    <n v="7"/>
    <s v="bună "/>
  </r>
  <r>
    <n v="287"/>
    <n v="2021"/>
    <x v="2"/>
    <x v="40"/>
    <s v="Regiunea Centru"/>
    <s v="a) Feminin"/>
    <s v="a) filiera teoretică (profilurile umanist şi real)"/>
    <s v="a) mediul urban"/>
    <s v="Psihologie"/>
    <n v="8"/>
    <s v="b) 3- 6 luni"/>
    <n v="7"/>
    <n v="10"/>
    <n v="5"/>
    <s v="b) Da, la mai multe materii"/>
    <n v="8"/>
    <s v="a) studii superioare, în același an în care am absolvit BAC-ul"/>
    <s v="c) Ştiinţe sociale, jurnalism şi informare"/>
    <n v="10"/>
    <s v="a) un pas/o etapa normal(ă) în viață, b) un eveniment deosebit, o reușită, o sărbătoare"/>
    <s v="9,51-10"/>
    <n v="10"/>
    <s v="Stresant "/>
  </r>
  <r>
    <n v="288"/>
    <n v="2022"/>
    <x v="2"/>
    <x v="8"/>
    <s v="Regiunea Nord-Est"/>
    <s v="a) Feminin"/>
    <s v="b) filiera tehnologică (profilurile tehnic, servicii, economic, resurse naturale şi protecţia mediului)"/>
    <s v="a) mediul urban"/>
    <s v="Geografie"/>
    <n v="8"/>
    <s v="e) M-am pregătit constant pe tot parcursul liceului"/>
    <n v="5"/>
    <n v="10"/>
    <n v="8"/>
    <s v="b) Da, la mai multe materii"/>
    <n v="10"/>
    <s v="a) studii superioare, în același an în care am absolvit BAC-ul"/>
    <s v="a) Educație"/>
    <n v="9"/>
    <s v="d) o etapa in care a influențat semnificativ viitoarea mea cariera educațională și profesională;"/>
    <s v="9,01-9,50"/>
    <n v="8"/>
    <s v="Stresantă "/>
  </r>
  <r>
    <n v="289"/>
    <n v="2022"/>
    <x v="2"/>
    <x v="8"/>
    <s v="Regiunea Nord-Est"/>
    <s v="a) Feminin"/>
    <s v="a) filiera teoretică (profilurile umanist şi real)"/>
    <s v="a) mediul urban"/>
    <s v="Logică, argumentare și comunicare"/>
    <n v="8"/>
    <s v="d) 12- 24 luni"/>
    <n v="9"/>
    <n v="9"/>
    <n v="9"/>
    <s v="d) Nu, m-am pregătit singur(ă)"/>
    <n v="10"/>
    <s v="a) studii superioare, în același an în care am absolvit BAC-ul"/>
    <s v="j) Sănătate şi asistenţă socială"/>
    <n v="10"/>
    <s v="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10"/>
    <s v="Stresantă"/>
  </r>
  <r>
    <n v="290"/>
    <n v="2022"/>
    <x v="2"/>
    <x v="8"/>
    <s v="Regiunea Nord-Est"/>
    <s v="a) Feminin"/>
    <s v="b) filiera tehnologică (profilurile tehnic, servicii, economic, resurse naturale şi protecţia mediului)"/>
    <s v="a) mediul urban"/>
    <s v="Logică, argumentare și comunicare"/>
    <n v="7"/>
    <s v="c) 6- 12 luni"/>
    <n v="5"/>
    <n v="10"/>
    <n v="6"/>
    <s v="a) Da, la una dintre materii"/>
    <n v="9"/>
    <s v="a) studii superioare, în același an în care am absolvit BAC-ul"/>
    <s v="d) Științe Economice"/>
    <n v="9"/>
    <s v="d) o etapa in care a influențat semnificativ viitoarea mea cariera educațională și profesională;"/>
    <s v="8,51-9,00"/>
    <n v="8"/>
    <s v="o provocare"/>
  </r>
  <r>
    <n v="291"/>
    <n v="2022"/>
    <x v="2"/>
    <x v="15"/>
    <s v="Regiunea Centru"/>
    <s v="a) Feminin"/>
    <s v="a) filiera teoretică (profilurile umanist şi real)"/>
    <s v="a) mediul urban"/>
    <s v="Biologie"/>
    <n v="7"/>
    <s v="a) sub 3 luni"/>
    <n v="5"/>
    <n v="8"/>
    <n v="8"/>
    <s v="c) Da, la toate materiile"/>
    <n v="10"/>
    <s v="a) studii superioare, în același an în care am absolvit BAC-ul"/>
    <s v="d) Științe Economice"/>
    <n v="2"/>
    <s v="a) un pas/o etapa normal(ă) în viață"/>
    <s v="9,01-9,50"/>
    <n v="9"/>
    <s v="ok"/>
  </r>
  <r>
    <n v="292"/>
    <n v="2022"/>
    <x v="2"/>
    <x v="6"/>
    <s v="Regiunea București-Ilfov"/>
    <s v="b) Masculin"/>
    <s v="b) filiera tehnologică (profilurile tehnic, servicii, economic, resurse naturale şi protecţia mediului)"/>
    <s v="a) mediul urban"/>
    <s v="Geografie"/>
    <n v="7"/>
    <s v="d) 12- 24 luni"/>
    <n v="1"/>
    <n v="6"/>
    <n v="2"/>
    <s v="c) Da, la toate materiile"/>
    <n v="10"/>
    <s v="a) studii superioare, în același an în care am absolvit BAC-ul"/>
    <s v="d) Științe Economice"/>
    <n v="5"/>
    <s v="d) o etapa in care a influențat semnificativ viitoarea mea cariera educațională și profesională;"/>
    <s v="7,01-7,50"/>
    <n v="8"/>
    <s v="Greu"/>
  </r>
  <r>
    <n v="293"/>
    <n v="2022"/>
    <x v="2"/>
    <x v="10"/>
    <s v="Regiunea Sud-Muntenia"/>
    <s v="b) Masculin"/>
    <s v="a) filiera teoretică (profilurile umanist şi real)"/>
    <s v="a) mediul urban"/>
    <s v="Biologie"/>
    <n v="6"/>
    <s v="b) 3- 6 luni"/>
    <n v="3"/>
    <n v="10"/>
    <n v="8"/>
    <s v="c) Da, la toate materiile"/>
    <n v="8"/>
    <s v="a) studii superioare, în același an în care am absolvit BAC-ul"/>
    <s v="d) Științe Economice"/>
    <n v="6"/>
    <s v="a) un pas/o etapa normal(ă) în viață, e) o etapa în care a influențat semnificativ dezvoltarea mea personală (în sens pozitiv)"/>
    <s v="9,51-10"/>
    <n v="10"/>
    <s v="Interesant"/>
  </r>
  <r>
    <n v="294"/>
    <n v="2022"/>
    <x v="2"/>
    <x v="26"/>
    <s v="Regiunea Sud-Vest Oltenia"/>
    <s v="b) Masculin"/>
    <s v="c) filiera vocaţională (profilurile militar, teologic, sportiv, artistic şi pedagogic)"/>
    <s v="a) mediul urban"/>
    <s v="Informatică"/>
    <n v="4"/>
    <s v="b) 3- 6 luni"/>
    <n v="7"/>
    <n v="9"/>
    <n v="10"/>
    <s v="b) Da, la mai multe materii"/>
    <n v="2"/>
    <s v="a) studii superioare, în același an în care am absolvit BAC-ul"/>
    <s v="g) Tehnologia informaţiei şi a comunicaţiilor, h) Inginerie, producţie şi construcţii"/>
    <n v="10"/>
    <s v="a) un pas/o etapa normal(ă) în viață, c) o etapă în care a influențat semnificativ viitoarea mea cariera educațională, d) o etapa in care a influențat semnificativ viitoarea mea cariera educațională și profesională;"/>
    <s v="9,01-9,50"/>
    <n v="9"/>
    <s v="lejer"/>
  </r>
  <r>
    <n v="295"/>
    <n v="2022"/>
    <x v="2"/>
    <x v="33"/>
    <s v="Regiunea Nord-Vest"/>
    <s v="a) Feminin"/>
    <s v="a) filiera teoretică (profilurile umanist şi real)"/>
    <s v="a) mediul urban"/>
    <s v="Geografie"/>
    <n v="8"/>
    <s v="b) 3- 6 luni"/>
    <n v="6"/>
    <n v="10"/>
    <n v="9"/>
    <s v="d) Nu, m-am pregătit singur(ă)"/>
    <n v="2"/>
    <s v="a) studii superioare, în același an în care am absolvit BAC-ul"/>
    <s v="a) Educație, b) Arte şi ştiinţe umaniste"/>
    <n v="1"/>
    <s v="a) un pas/o etapa normal(ă) în viață"/>
    <s v="8,01-8,50"/>
    <n v="7"/>
    <s v="Acceptabila"/>
  </r>
  <r>
    <n v="296"/>
    <n v="2022"/>
    <x v="2"/>
    <x v="15"/>
    <s v="Regiunea Centru"/>
    <s v="a) Feminin"/>
    <s v="a) filiera teoretică (profilurile umanist şi real)"/>
    <s v="a) mediul urban"/>
    <s v="Biologie"/>
    <n v="7"/>
    <s v="b) 3- 6 luni"/>
    <n v="2"/>
    <n v="10"/>
    <n v="6"/>
    <s v="c) Da, la toate materiile"/>
    <n v="10"/>
    <s v="a) studii superioare, în același an în care am absolvit BAC-ul"/>
    <s v="d) Științe Economice"/>
    <n v="6"/>
    <s v="c) o etapă în care a influențat semnificativ viitoarea mea cariera educațională, d) o etapa in care a influențat semnificativ viitoarea mea cariera educațională și profesională;"/>
    <s v="6,51-7,00"/>
    <n v="6"/>
    <s v="Interesanta"/>
  </r>
  <r>
    <n v="297"/>
    <n v="2022"/>
    <x v="2"/>
    <x v="18"/>
    <s v="Regiunea Sud-Est"/>
    <s v="a) Feminin"/>
    <s v="c) filiera vocaţională (profilurile militar, teologic, sportiv, artistic şi pedagogic)"/>
    <s v="a) mediul urban"/>
    <s v="Psihologie"/>
    <n v="10"/>
    <s v="d) 12- 24 luni"/>
    <n v="5"/>
    <n v="8"/>
    <n v="3"/>
    <s v="b) Da, la mai multe materii"/>
    <n v="10"/>
    <s v="g) Nu am mai urmat alte studii"/>
    <s v="a) Educație"/>
    <n v="8"/>
    <s v="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sub 6,50"/>
    <n v="3"/>
    <s v="Grea"/>
  </r>
  <r>
    <n v="298"/>
    <n v="2022"/>
    <x v="2"/>
    <x v="21"/>
    <s v="Regiunea Sud-Muntenia"/>
    <s v="a) Feminin"/>
    <s v="a) filiera teoretică (profilurile umanist şi real)"/>
    <s v="a) mediul urban"/>
    <s v="Logică, argumentare și comunicare"/>
    <n v="8"/>
    <s v="a) sub 3 luni"/>
    <n v="4"/>
    <n v="10"/>
    <n v="7"/>
    <s v="c) Da, la toate materiile"/>
    <n v="10"/>
    <s v="a) studii superioare, în același an în care am absolvit BAC-ul"/>
    <s v="e) Administraţie şi drept"/>
    <n v="6"/>
    <s v="a) un pas/o etapa normal(ă) în viață"/>
    <s v="8,01-8,50"/>
    <n v="9"/>
    <s v="ok"/>
  </r>
  <r>
    <n v="299"/>
    <n v="2022"/>
    <x v="2"/>
    <x v="21"/>
    <s v="Regiunea Sud-Muntenia"/>
    <s v="b) Masculin"/>
    <s v="b) filiera tehnologică (profilurile tehnic, servicii, economic, resurse naturale şi protecţia mediului)"/>
    <s v="a) mediul urban"/>
    <s v="Biologie"/>
    <n v="7"/>
    <s v="c) 6- 12 luni"/>
    <n v="7"/>
    <n v="10"/>
    <n v="7"/>
    <s v="b) Da, la mai multe materii"/>
    <n v="8"/>
    <s v="a) studii superioare, în același an în care am absolvit BAC-ul"/>
    <s v="d) Științe Economice"/>
    <n v="3"/>
    <s v="a) un pas/o etapa normal(ă) în viață"/>
    <s v="sub 6,50"/>
    <n v="5"/>
    <s v="Stres"/>
  </r>
  <r>
    <n v="300"/>
    <n v="2022"/>
    <x v="2"/>
    <x v="7"/>
    <s v="Regiunea Centru"/>
    <s v="b) Masculin"/>
    <s v="a) filiera teoretică (profilurile umanist şi real)"/>
    <s v="a) mediul urban"/>
    <s v="Logică, argumentare și comunicare"/>
    <n v="8"/>
    <s v="b) 3- 6 luni"/>
    <n v="8"/>
    <n v="10"/>
    <n v="9"/>
    <s v="d) Nu, m-am pregătit singur(ă)"/>
    <n v="8"/>
    <s v="a) studii superioare, în același an în care am absolvit BAC-ul"/>
    <s v="b) Arte şi ştiinţe umaniste"/>
    <n v="8"/>
    <s v="a) un pas/o etapa normal(ă) în viață"/>
    <s v="8,01-8,50"/>
    <n v="8"/>
    <s v="O EXPERIENTA NECESARA"/>
  </r>
  <r>
    <n v="301"/>
    <n v="2022"/>
    <x v="2"/>
    <x v="21"/>
    <s v="Regiunea Sud-Muntenia"/>
    <s v="a) Feminin"/>
    <s v="a) filiera teoretică (profilurile umanist şi real)"/>
    <s v="a) mediul urban"/>
    <s v="Geografie"/>
    <n v="6"/>
    <s v="c) 6- 12 luni"/>
    <n v="7"/>
    <n v="10"/>
    <n v="7"/>
    <s v="b) Da, la mai multe materii"/>
    <n v="5"/>
    <s v="a) studii superioare, în același an în care am absolvit BAC-ul"/>
    <s v="d) Științe Economice"/>
    <n v="10"/>
    <s v="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9"/>
    <s v="Buna"/>
  </r>
  <r>
    <n v="302"/>
    <n v="2022"/>
    <x v="2"/>
    <x v="34"/>
    <s v="Regiunea Nord-Est"/>
    <s v="a) Feminin"/>
    <s v="c) filiera vocaţională (profilurile militar, teologic, sportiv, artistic şi pedagogic)"/>
    <s v="a) mediul urban"/>
    <s v="Logică, argumentare și comunicare"/>
    <n v="6"/>
    <s v="c) 6- 12 luni"/>
    <n v="7"/>
    <n v="10"/>
    <n v="8"/>
    <s v="c) Da, la toate materiile"/>
    <n v="8"/>
    <s v="b) studii superioare, la un an de la absolvire"/>
    <s v="a) Educație, Psihologie "/>
    <n v="9"/>
    <s v="d) o etapa in care a influențat semnificativ viitoarea mea cariera educațională și profesională;"/>
    <s v="9,01-9,50"/>
    <n v="9"/>
    <s v="Stresantă"/>
  </r>
  <r>
    <n v="303"/>
    <n v="2022"/>
    <x v="2"/>
    <x v="35"/>
    <s v="Regiunea Centru"/>
    <s v="b) Masculin"/>
    <s v="c) filiera vocaţională (profilurile militar, teologic, sportiv, artistic şi pedagogic)"/>
    <s v="a) mediul urban"/>
    <s v="Geografie"/>
    <n v="7"/>
    <s v="e) M-am pregătit constant pe tot parcursul liceului"/>
    <n v="8"/>
    <n v="8"/>
    <n v="9"/>
    <s v="d) Nu, m-am pregătit singur(ă)"/>
    <n v="7"/>
    <s v="a) studii superioare, în același an în care am absolvit BAC-ul"/>
    <s v="Teológie Reformata Didactica in lb maghiara"/>
    <n v="7"/>
    <s v="c) o etapă în care a influențat semnificativ viitoarea mea cariera educațională, d) o etapa in care a influențat semnificativ viitoarea mea cariera educațională și profesională;"/>
    <s v="7,01-7,50"/>
    <n v="10"/>
    <s v="Nu este cazul"/>
  </r>
  <r>
    <n v="304"/>
    <n v="2023"/>
    <x v="2"/>
    <x v="8"/>
    <s v="Regiunea Nord-Est"/>
    <s v="a) Feminin"/>
    <s v="a) filiera teoretică (profilurile umanist şi real)"/>
    <s v="a) mediul urban"/>
    <s v="Biologie"/>
    <n v="7"/>
    <s v="c) 6- 12 luni"/>
    <n v="1"/>
    <n v="10"/>
    <n v="1"/>
    <s v="c) Da, la toate materiile"/>
    <n v="10"/>
    <s v="a) studii superioare, în același an în care am absolvit BAC-ul"/>
    <s v="j) Sănătate şi asistenţă socială"/>
    <n v="5"/>
    <s v="d) o etapa in care a influențat semnificativ viitoarea mea cariera educațională și profesională;"/>
    <s v="8,51-9,00"/>
    <n v="10"/>
    <s v="Dificilă"/>
  </r>
  <r>
    <n v="305"/>
    <n v="2023"/>
    <x v="2"/>
    <x v="8"/>
    <s v="Regiunea Nord-Est"/>
    <s v="a) Feminin"/>
    <s v="a) filiera teoretică (profilurile umanist şi real)"/>
    <s v="a) mediul urban"/>
    <s v="Geografie"/>
    <n v="5"/>
    <s v="c) 6- 12 luni"/>
    <n v="7"/>
    <n v="10"/>
    <n v="9"/>
    <s v="a) Da, la una dintre materii"/>
    <n v="10"/>
    <s v="a) studii superioare, în același an în care am absolvit BAC-ul"/>
    <s v="a) Educație"/>
    <n v="7"/>
    <s v="a) un pas/o etapa normal(ă) în viață"/>
    <s v="7,01-7,50"/>
    <n v="9"/>
    <s v="Foarte stresanta"/>
  </r>
  <r>
    <n v="306"/>
    <n v="2023"/>
    <x v="2"/>
    <x v="7"/>
    <s v="Regiunea Centru"/>
    <s v="a) Feminin"/>
    <s v="a) filiera teoretică (profilurile umanist şi real)"/>
    <s v="a) mediul urban"/>
    <s v="Biologie"/>
    <n v="5"/>
    <s v="e) M-am pregătit constant pe tot parcursul liceului"/>
    <n v="10"/>
    <n v="10"/>
    <n v="10"/>
    <s v="a) Da, la una dintre materii"/>
    <n v="8"/>
    <s v="a) studii superioare, în același an în care am absolvit BAC-ul"/>
    <s v="d) Științe Economice"/>
    <n v="7"/>
    <s v="b) un eveniment deosebit, o reușită, o sărbătoare, c) o etapă în care a influențat semnificativ viitoarea mea cariera educațională"/>
    <s v="9,51-10"/>
    <n v="8"/>
    <s v="Stresantă"/>
  </r>
  <r>
    <n v="307"/>
    <n v="2023"/>
    <x v="2"/>
    <x v="17"/>
    <s v="Regiunea Nord-Vest"/>
    <s v="a) Feminin"/>
    <s v="b) filiera tehnologică (profilurile tehnic, servicii, economic, resurse naturale şi protecţia mediului)"/>
    <s v="b) mediul rural"/>
    <s v="Geografie"/>
    <n v="6"/>
    <s v="a) sub 3 luni"/>
    <n v="2"/>
    <n v="1"/>
    <n v="8"/>
    <s v="d) Nu, m-am pregătit singur(ă)"/>
    <n v="10"/>
    <s v="a) studii superioare, în același an în care am absolvit BAC-ul, Am înghețat primul an de studii voi reveni în 2026"/>
    <s v="i) Agricultură, silvicultură, piscicultură şi ştiinţe veterinare"/>
    <n v="10"/>
    <s v="a) un pas/o etapa normal(ă) în viață, b) un eveniment deosebit, o reușită, o sărbătoare, c) o etapă în care a influențat semnificativ viitoarea mea cariera educațională, d) o etapa in care a influențat semnificativ viitoarea mea cariera educațională și profesională;"/>
    <s v="sub 6,50"/>
    <n v="8"/>
    <s v="Foarte bună "/>
  </r>
  <r>
    <n v="308"/>
    <n v="2023"/>
    <x v="2"/>
    <x v="18"/>
    <s v="Regiunea Sud-Est"/>
    <s v="a) Feminin"/>
    <s v="a) filiera teoretică (profilurile umanist şi real)"/>
    <s v="a) mediul urban"/>
    <s v="Logică, argumentare și comunicare"/>
    <n v="5"/>
    <s v="d) 12- 24 luni"/>
    <n v="7"/>
    <n v="9"/>
    <n v="7"/>
    <s v="c) Da, la toate materiile"/>
    <n v="8"/>
    <s v="a) studii superioare, în același an în care am absolvit BAC-ul, b) studii superioare, la un an de la absolvire"/>
    <s v="b) Arte şi ştiinţe umaniste, c) Ştiinţe sociale, jurnalism şi informare"/>
    <n v="4"/>
    <s v="a) un pas/o etapa normal(ă) în viață"/>
    <s v="9,01-9,50"/>
    <n v="7"/>
    <s v="stresanta"/>
  </r>
  <r>
    <n v="309"/>
    <n v="2023"/>
    <x v="2"/>
    <x v="5"/>
    <s v="Regiunea Nord-Vest"/>
    <s v="b) Masculin"/>
    <s v="a) filiera teoretică (profilurile umanist şi real)"/>
    <s v="a) mediul urban"/>
    <s v="Informatică"/>
    <n v="2"/>
    <s v="e) M-am pregătit constant pe tot parcursul liceului"/>
    <n v="8"/>
    <n v="10"/>
    <n v="9"/>
    <s v="a) Da, la una dintre materii"/>
    <n v="9"/>
    <s v="a) studii superioare, în același an în care am absolvit BAC-ul"/>
    <s v="g) Tehnologia informaţiei şi a comunicaţiilor"/>
    <n v="10"/>
    <s v="d) o etapa in care a influențat semnificativ viitoarea mea cariera educațională și profesională;, e) o etapa în care a influențat semnificativ dezvoltarea mea personală (în sens pozitiv)"/>
    <s v="8,51-9,00"/>
    <n v="9"/>
    <s v="Importanta"/>
  </r>
  <r>
    <n v="310"/>
    <n v="2023"/>
    <x v="2"/>
    <x v="2"/>
    <s v="Regiunea Sud-Muntenia"/>
    <s v="a) Feminin"/>
    <s v="a) filiera teoretică (profilurile umanist şi real)"/>
    <s v="a) mediul urban"/>
    <s v="Biologie"/>
    <n v="7"/>
    <s v="b) 3- 6 luni"/>
    <n v="1"/>
    <n v="10"/>
    <n v="1"/>
    <s v="a) Da, la una dintre materii"/>
    <n v="7"/>
    <s v="a) studii superioare, în același an în care am absolvit BAC-ul"/>
    <s v="a) Educație"/>
    <n v="10"/>
    <s v="e) o etapa în care a influențat semnificativ dezvoltarea mea personală (în sens pozitiv)"/>
    <s v="8,01-8,50"/>
    <n v="10"/>
    <s v="Foarte bună "/>
  </r>
  <r>
    <n v="311"/>
    <n v="2023"/>
    <x v="2"/>
    <x v="6"/>
    <s v="Regiunea București-Ilfov"/>
    <s v="a) Feminin"/>
    <s v="a) filiera teoretică (profilurile umanist şi real)"/>
    <s v="a) mediul urban"/>
    <s v="Logică, argumentare și comunicare"/>
    <n v="6"/>
    <s v="c) 6- 12 luni"/>
    <n v="10"/>
    <n v="10"/>
    <n v="10"/>
    <s v="a) Da, la una dintre materii"/>
    <n v="8"/>
    <s v="a) studii superioare, în același an în care am absolvit BAC-ul"/>
    <s v="d) Științe Economice, Securitate si aparare nationala"/>
    <n v="9"/>
    <s v="a) un pas/o etapa normal(ă) în viață, d) o etapa in care a influențat semnificativ viitoarea mea cariera educațională și profesională;, e) o etapa în care a influențat semnificativ dezvoltarea mea personală (în sens pozitiv)"/>
    <s v="8,01-8,50"/>
    <n v="9"/>
    <s v="normala"/>
  </r>
  <r>
    <n v="312"/>
    <n v="2023"/>
    <x v="2"/>
    <x v="6"/>
    <s v="Regiunea București-Ilfov"/>
    <s v="a) Feminin"/>
    <s v="b) filiera tehnologică (profilurile tehnic, servicii, economic, resurse naturale şi protecţia mediului)"/>
    <s v="a) mediul urban"/>
    <s v="Biologie"/>
    <n v="7"/>
    <s v="c) 6- 12 luni"/>
    <n v="8"/>
    <n v="9"/>
    <n v="10"/>
    <s v="c) Da, la toate materiile"/>
    <n v="6"/>
    <s v="a) studii superioare, în același an în care am absolvit BAC-ul"/>
    <s v="g) Tehnologia informaţiei şi a comunicaţiilor"/>
    <n v="6"/>
    <s v="e) o etapa în care a influențat semnificativ dezvoltarea mea personală (în sens pozitiv)"/>
    <s v="9,51-10"/>
    <n v="7"/>
    <s v="Da"/>
  </r>
  <r>
    <n v="313"/>
    <n v="2023"/>
    <x v="2"/>
    <x v="21"/>
    <s v="Regiunea Sud-Muntenia"/>
    <s v="b) Masculin"/>
    <s v="b) filiera tehnologică (profilurile tehnic, servicii, economic, resurse naturale şi protecţia mediului)"/>
    <s v="a) mediul urban"/>
    <s v="Fizică"/>
    <n v="5"/>
    <s v="b) 3- 6 luni"/>
    <n v="7"/>
    <n v="6"/>
    <n v="8"/>
    <s v="a) Da, la una dintre materii"/>
    <n v="7"/>
    <s v="a) studii superioare, în același an în care am absolvit BAC-ul"/>
    <s v="d) Științe Economice"/>
    <n v="6"/>
    <s v="c) o etapă în care a influențat semnificativ viitoarea mea cariera educațională, d) o etapa in care a influențat semnificativ viitoarea mea cariera educațională și profesională;"/>
    <s v="8,51-9,00"/>
    <n v="8"/>
    <s v="Stresanta"/>
  </r>
  <r>
    <n v="314"/>
    <n v="2023"/>
    <x v="2"/>
    <x v="18"/>
    <s v="Regiunea Sud-Est"/>
    <s v="b) Masculin"/>
    <s v="c) filiera vocaţională (profilurile militar, teologic, sportiv, artistic şi pedagogic)"/>
    <s v="a) mediul urban"/>
    <s v="Biologie"/>
    <n v="7"/>
    <s v="a) sub 3 luni"/>
    <n v="7"/>
    <n v="10"/>
    <n v="7"/>
    <s v="a) Da, la una dintre materii"/>
    <n v="6"/>
    <s v="a) studii superioare, în același an în care am absolvit BAC-ul"/>
    <s v="d) Științe Economice"/>
    <n v="6"/>
    <s v="d) o etapa in care a influențat semnificativ viitoarea mea cariera educațională și profesională;"/>
    <s v="7,51-8,00"/>
    <n v="8"/>
    <s v="interesant"/>
  </r>
  <r>
    <n v="315"/>
    <n v="2023"/>
    <x v="2"/>
    <x v="8"/>
    <s v="Regiunea Nord-Est"/>
    <s v="a) Feminin"/>
    <s v="c) filiera vocaţională (profilurile militar, teologic, sportiv, artistic şi pedagogic)"/>
    <s v="a) mediul urban"/>
    <s v="Informatică"/>
    <n v="6"/>
    <s v="e) M-am pregătit constant pe tot parcursul liceului"/>
    <n v="6"/>
    <n v="3"/>
    <n v="9"/>
    <s v="d) Nu, m-am pregătit singur(ă)"/>
    <n v="3"/>
    <s v="a) studii superioare, în același an în care am absolvit BAC-ul"/>
    <s v="a) Educație"/>
    <n v="8"/>
    <s v="a) un pas/o etapa normal(ă) în viață"/>
    <s v="9,01-9,50"/>
    <n v="9"/>
    <s v="Normal"/>
  </r>
  <r>
    <n v="316"/>
    <n v="2023"/>
    <x v="2"/>
    <x v="26"/>
    <s v="Regiunea Sud-Vest Oltenia"/>
    <s v="a) Feminin"/>
    <s v="c) filiera vocaţională (profilurile militar, teologic, sportiv, artistic şi pedagogic)"/>
    <s v="a) mediul urban"/>
    <s v="Fizică"/>
    <n v="7"/>
    <s v="b) 3- 6 luni"/>
    <n v="8"/>
    <n v="10"/>
    <n v="6"/>
    <s v="b) Da, la mai multe materii"/>
    <n v="9"/>
    <s v="a) studii superioare, în același an în care am absolvit BAC-ul"/>
    <s v="Management militar"/>
    <n v="10"/>
    <s v="d) o etapa in care a influențat semnificativ viitoarea mea cariera educațională și profesională;, e) o etapa în care a influențat semnificativ dezvoltarea mea personală (în sens pozitiv)"/>
    <s v="9,01-9,50"/>
    <n v="10"/>
    <s v="Stresantă "/>
  </r>
  <r>
    <n v="317"/>
    <n v="2023"/>
    <x v="2"/>
    <x v="8"/>
    <s v="Regiunea Nord-Est"/>
    <s v="a) Feminin"/>
    <s v="c) filiera vocaţională (profilurile militar, teologic, sportiv, artistic şi pedagogic)"/>
    <s v="a) mediul urban"/>
    <s v="Informatică"/>
    <n v="8"/>
    <s v="d) 12- 24 luni"/>
    <n v="7"/>
    <n v="9"/>
    <n v="4"/>
    <s v="b) Da, la mai multe materii"/>
    <n v="5"/>
    <s v="a) studii superioare, în același an în care am absolvit BAC-ul"/>
    <s v="Militar "/>
    <n v="5"/>
    <s v="a) un pas/o etapa normal(ă) în viață"/>
    <s v="8,51-9,00"/>
    <n v="10"/>
    <s v="Ok"/>
  </r>
  <r>
    <n v="318"/>
    <n v="2023"/>
    <x v="2"/>
    <x v="39"/>
    <s v="Regiunea Centru"/>
    <s v="a) Feminin"/>
    <s v="a) filiera teoretică (profilurile umanist şi real)"/>
    <s v="a) mediul urban"/>
    <s v="Chimie"/>
    <n v="7"/>
    <s v="e) M-am pregătit constant pe tot parcursul liceului"/>
    <n v="9"/>
    <n v="7"/>
    <n v="9"/>
    <s v="a) Da, la una dintre materii"/>
    <n v="10"/>
    <s v="a) studii superioare, în același an în care am absolvit BAC-ul"/>
    <s v="d) Științe Economice"/>
    <n v="8"/>
    <s v="c) o etapă în care a influențat semnificativ viitoarea mea cariera educațională, d) o etapa in care a influențat semnificativ viitoarea mea cariera educațională și profesională;"/>
    <s v="9,01-9,50"/>
    <n v="9"/>
    <s v="Stresanta"/>
  </r>
  <r>
    <n v="319"/>
    <n v="2023"/>
    <x v="2"/>
    <x v="16"/>
    <s v="Regiunea Vest"/>
    <s v="a) Feminin"/>
    <s v="a) filiera teoretică (profilurile umanist şi real)"/>
    <s v="a) mediul urban"/>
    <s v="Chimie"/>
    <n v="4"/>
    <s v="a) sub 3 luni"/>
    <n v="2"/>
    <n v="1"/>
    <n v="3"/>
    <s v="b) Da, la mai multe materii"/>
    <n v="1"/>
    <s v="a) studii superioare, în același an în care am absolvit BAC-ul"/>
    <s v="Medicina"/>
    <n v="1"/>
    <s v="a) un pas/o etapa normal(ă) în viață"/>
    <s v="8,01-8,50"/>
    <n v="8"/>
    <s v="ok"/>
  </r>
  <r>
    <n v="320"/>
    <n v="2023"/>
    <x v="2"/>
    <x v="18"/>
    <s v="Regiunea Sud-Est"/>
    <s v="a) Feminin"/>
    <s v="b) filiera tehnologică (profilurile tehnic, servicii, economic, resurse naturale şi protecţia mediului)"/>
    <s v="a) mediul urban"/>
    <s v="Geografie"/>
    <n v="9"/>
    <s v="e) M-am pregătit constant pe tot parcursul liceului"/>
    <n v="3"/>
    <n v="10"/>
    <n v="5"/>
    <s v="b) Da, la mai multe materii"/>
    <n v="10"/>
    <s v="c) studii superioare, la 2-3 ani de la absolvire"/>
    <s v="d) Științe Economice"/>
    <n v="7"/>
    <s v="e) o etapa în care a influențat semnificativ dezvoltarea mea personală (în sens pozitiv)"/>
    <s v="7,01-7,50"/>
    <n v="7"/>
    <s v="Utila"/>
  </r>
  <r>
    <n v="321"/>
    <n v="2023"/>
    <x v="2"/>
    <x v="30"/>
    <s v="Regiunea Sud-Est"/>
    <s v="b) Masculin"/>
    <s v="b) filiera tehnologică (profilurile tehnic, servicii, economic, resurse naturale şi protecţia mediului)"/>
    <s v="b) mediul rural"/>
    <s v="Biologie"/>
    <n v="7"/>
    <s v="b) 3- 6 luni"/>
    <n v="8"/>
    <n v="10"/>
    <n v="8"/>
    <s v="d) Nu, m-am pregătit singur(ă)"/>
    <n v="4"/>
    <s v="b) studii superioare, la un an de la absolvire"/>
    <s v="e) Administraţie şi drept"/>
    <n v="5"/>
    <s v="a) un pas/o etapa normal(ă) în viață"/>
    <s v="6,51-7,00"/>
    <n v="7"/>
    <s v="Normala "/>
  </r>
  <r>
    <n v="322"/>
    <n v="2023"/>
    <x v="2"/>
    <x v="26"/>
    <s v="Regiunea Sud-Vest Oltenia"/>
    <s v="b) Masculin"/>
    <s v="a) filiera teoretică (profilurile umanist şi real)"/>
    <s v="a) mediul urban"/>
    <s v="Informatică"/>
    <n v="7"/>
    <s v="a) sub 3 luni"/>
    <n v="8"/>
    <n v="10"/>
    <n v="7"/>
    <s v="d) Nu, m-am pregătit singur(ă)"/>
    <n v="10"/>
    <s v="a) studii superioare, în același an în care am absolvit BAC-ul"/>
    <s v="g) Tehnologia informaţiei şi a comunicaţiilor"/>
    <n v="7"/>
    <s v="a) un pas/o etapa normal(ă) în viață"/>
    <s v="8,51-9,00"/>
    <n v="10"/>
    <s v="Stresant"/>
  </r>
  <r>
    <n v="323"/>
    <n v="2023"/>
    <x v="2"/>
    <x v="21"/>
    <s v="Regiunea Sud-Muntenia"/>
    <s v="a) Feminin"/>
    <s v="b) filiera tehnologică (profilurile tehnic, servicii, economic, resurse naturale şi protecţia mediului)"/>
    <s v="a) mediul urban"/>
    <s v="Logică, argumentare și comunicare"/>
    <n v="2"/>
    <s v="d) 12- 24 luni"/>
    <n v="7"/>
    <n v="9"/>
    <n v="8"/>
    <s v="c) Da, la toate materiile"/>
    <n v="9"/>
    <s v="a) studii superioare, în același an în care am absolvit BAC-ul, b) studii superioare, la un an de la absolvire"/>
    <s v="d) Științe Economice"/>
    <n v="9"/>
    <s v="d) o etapa in care a influențat semnificativ viitoarea mea cariera educațională și profesională;"/>
    <s v="9,01-9,50"/>
    <n v="9"/>
    <s v="Frumoasa "/>
  </r>
  <r>
    <n v="324"/>
    <n v="2023"/>
    <x v="2"/>
    <x v="21"/>
    <s v="Regiunea Sud-Muntenia"/>
    <s v="a) Feminin"/>
    <s v="a) filiera teoretică (profilurile umanist şi real)"/>
    <s v="a) mediul urban"/>
    <s v="Biologie"/>
    <n v="7"/>
    <s v="b) 3- 6 luni"/>
    <n v="3"/>
    <n v="10"/>
    <n v="3"/>
    <s v="a) Da, la una dintre materii"/>
    <n v="10"/>
    <s v="b) studii superioare, la un an de la absolvire"/>
    <s v="d) Științe Economice"/>
    <n v="10"/>
    <s v="d) o etapa in care a influențat semnificativ viitoarea mea cariera educațională și profesională;, e) o etapa în care a influențat semnificativ dezvoltarea mea personală (în sens pozitiv)"/>
    <s v="6,51-7,00"/>
    <n v="4"/>
    <s v="Nu stiu"/>
  </r>
  <r>
    <n v="325"/>
    <n v="2023"/>
    <x v="2"/>
    <x v="24"/>
    <s v="Regiunea Nord-Est"/>
    <s v="a) Feminin"/>
    <s v="a) filiera teoretică (profilurile umanist şi real)"/>
    <s v="a) mediul urban"/>
    <s v="Informatică"/>
    <n v="5"/>
    <s v="e) M-am pregătit constant pe tot parcursul liceului"/>
    <n v="7"/>
    <n v="6"/>
    <n v="9"/>
    <s v="d) Nu, m-am pregătit singur(ă)"/>
    <n v="6"/>
    <s v="a) studii superioare, în același an în care am absolvit BAC-ul"/>
    <s v="Informatica"/>
    <n v="9"/>
    <s v="a) un pas/o etapa normal(ă) în viață, b) un eveniment deosebit, o reușită, o sărbătoare, c) o etapă în care a influențat semnificativ viitoarea mea cariera educațională"/>
    <s v="9,51-10"/>
    <n v="9"/>
    <s v="Ok"/>
  </r>
  <r>
    <n v="326"/>
    <n v="2023"/>
    <x v="2"/>
    <x v="6"/>
    <s v="Regiunea București-Ilfov"/>
    <s v="a) Feminin"/>
    <s v="a) filiera teoretică (profilurile umanist şi real)"/>
    <s v="a) mediul urban"/>
    <s v="Biologie"/>
    <n v="6"/>
    <s v="e) M-am pregătit constant pe tot parcursul liceului"/>
    <n v="10"/>
    <n v="10"/>
    <n v="10"/>
    <s v="d) Nu, m-am pregătit singur(ă)"/>
    <n v="3"/>
    <s v="a) studii superioare, în același an în care am absolvit BAC-ul"/>
    <s v="d) Științe Economice"/>
    <n v="8"/>
    <s v="a) un pas/o etapa normal(ă) în viață, b) un eveniment deosebit, o reușită, o sărbătoare, c) o etapă în care a influențat semnificativ viitoarea mea cariera educațională, d) o etapa in care a influențat semnificativ viitoarea mea cariera educațională și profesională;"/>
    <s v="9,01-9,50"/>
    <n v="10"/>
    <s v="un pas important in viata"/>
  </r>
  <r>
    <n v="327"/>
    <n v="2023"/>
    <x v="2"/>
    <x v="13"/>
    <s v="Regiunea Sud-Est"/>
    <s v="a) Feminin"/>
    <s v="a) filiera teoretică (profilurile umanist şi real)"/>
    <s v="a) mediul urban"/>
    <s v="Logică, argumentare și comunicare"/>
    <n v="5"/>
    <s v="b) 3- 6 luni"/>
    <n v="6"/>
    <n v="1"/>
    <n v="7"/>
    <s v="d) Nu, m-am pregătit singur(ă)"/>
    <n v="10"/>
    <s v="a) studii superioare, în același an în care am absolvit BAC-ul"/>
    <s v="d) Științe Economice"/>
    <n v="10"/>
    <s v="b) un eveniment deosebit, o reușită, o sărbătoare, c) o etapă în care a influențat semnificativ viitoarea mea cariera educațională"/>
    <s v="8,51-9,00"/>
    <n v="8"/>
    <s v="Stresantă "/>
  </r>
  <r>
    <n v="328"/>
    <n v="2023"/>
    <x v="2"/>
    <x v="0"/>
    <s v="Regiunea Nord-Est"/>
    <s v="a) Feminin"/>
    <s v="b) filiera tehnologică (profilurile tehnic, servicii, economic, resurse naturale şi protecţia mediului)"/>
    <s v="b) mediul rural"/>
    <s v="Geografie"/>
    <n v="7"/>
    <s v="c) 6- 12 luni"/>
    <n v="7"/>
    <n v="9"/>
    <n v="9"/>
    <s v="c) Da, la toate materiile"/>
    <n v="8"/>
    <s v="f) studii postliceale / învățământ profesional terțiar"/>
    <s v="Turism și alimentație profil servicii "/>
    <n v="5"/>
    <s v="c) o etapă în care a influențat semnificativ viitoarea mea cariera educațională"/>
    <s v="sub 6,50"/>
    <n v="1"/>
    <s v="Emoții "/>
  </r>
  <r>
    <n v="329"/>
    <n v="2024"/>
    <x v="2"/>
    <x v="8"/>
    <s v="Regiunea Nord-Est"/>
    <s v="a) Feminin"/>
    <s v="b) filiera tehnologică (profilurile tehnic, servicii, economic, resurse naturale şi protecţia mediului)"/>
    <s v="a) mediul urban"/>
    <s v="Logică, argumentare și comunicare"/>
    <n v="6"/>
    <s v="c) 6- 12 luni"/>
    <n v="8"/>
    <n v="3"/>
    <n v="6"/>
    <s v="d) Nu, m-am pregătit singur(ă)"/>
    <n v="10"/>
    <s v="a) studii superioare, în același an în care am absolvit BAC-ul"/>
    <s v="e) Administraţie şi drept"/>
    <n v="7"/>
    <s v="a) un pas/o etapa normal(ă) în viață, e) o etapa în care a influențat semnificativ dezvoltarea mea personală (în sens pozitiv)"/>
    <s v="9,51-10"/>
    <n v="10"/>
    <s v="Stresantă "/>
  </r>
  <r>
    <n v="330"/>
    <n v="2024"/>
    <x v="2"/>
    <x v="8"/>
    <s v="Regiunea Nord-Est"/>
    <s v="a) Feminin"/>
    <s v="b) filiera tehnologică (profilurile tehnic, servicii, economic, resurse naturale şi protecţia mediului)"/>
    <s v="a) mediul urban"/>
    <s v="Geografie"/>
    <n v="6"/>
    <s v="a) sub 3 luni"/>
    <n v="5"/>
    <n v="3"/>
    <n v="4"/>
    <s v="a) Da, la una dintre materii"/>
    <n v="5"/>
    <s v="a) studii superioare, în același an în care am absolvit BAC-ul"/>
    <s v="j) Sănătate şi asistenţă socială"/>
    <n v="4"/>
    <s v="a) un pas/o etapa normal(ă) în viață"/>
    <s v="7,51-8,00"/>
    <n v="6"/>
    <s v="Ok"/>
  </r>
  <r>
    <n v="331"/>
    <n v="2024"/>
    <x v="2"/>
    <x v="8"/>
    <s v="Regiunea Nord-Est"/>
    <s v="a) Feminin"/>
    <s v="a) filiera teoretică (profilurile umanist şi real)"/>
    <s v="a) mediul urban"/>
    <s v="Biologie"/>
    <n v="8"/>
    <s v="a) sub 3 luni"/>
    <n v="7"/>
    <n v="5"/>
    <n v="8"/>
    <s v="d) Nu, m-am pregătit singur(ă)"/>
    <n v="9"/>
    <s v="a) studii superioare, în același an în care am absolvit BAC-ul"/>
    <s v="a) Educație"/>
    <n v="9"/>
    <s v="a) un pas/o etapa normal(ă) în viață"/>
    <s v="8,51-9,00"/>
    <n v="9"/>
    <s v="Foarte buna"/>
  </r>
  <r>
    <n v="332"/>
    <n v="2024"/>
    <x v="2"/>
    <x v="8"/>
    <s v="Regiunea Nord-Est"/>
    <s v="a) Feminin"/>
    <s v="b) filiera tehnologică (profilurile tehnic, servicii, economic, resurse naturale şi protecţia mediului)"/>
    <s v="a) mediul urban"/>
    <s v="Geografie"/>
    <n v="6"/>
    <s v="b) 3- 6 luni"/>
    <n v="8"/>
    <n v="6"/>
    <n v="8"/>
    <s v="d) Nu, m-am pregătit singur(ă)"/>
    <n v="9"/>
    <s v="a) studii superioare, în același an în care am absolvit BAC-ul"/>
    <s v="c) Ştiinţe sociale, jurnalism şi informare"/>
    <n v="6"/>
    <s v="d) o etapa in care a influențat semnificativ viitoarea mea cariera educațională și profesională;"/>
    <s v="7,01-7,50"/>
    <n v="6"/>
    <s v="Stresantă "/>
  </r>
  <r>
    <n v="333"/>
    <n v="2024"/>
    <x v="2"/>
    <x v="21"/>
    <s v="Regiunea Sud-Muntenia"/>
    <s v="b) Masculin"/>
    <s v="a) filiera teoretică (profilurile umanist şi real)"/>
    <s v="a) mediul urban"/>
    <s v="Informatică"/>
    <n v="7"/>
    <s v="c) 6- 12 luni"/>
    <n v="5"/>
    <n v="10"/>
    <n v="8"/>
    <s v="c) Da, la toate materiile"/>
    <n v="8"/>
    <s v="a) studii superioare, în același an în care am absolvit BAC-ul"/>
    <s v="d) Științe Economice"/>
    <n v="7"/>
    <s v="d) o etapa in care a influențat semnificativ viitoarea mea cariera educațională și profesională;, e) o etapa în care a influențat semnificativ dezvoltarea mea personală (în sens pozitiv)"/>
    <s v="8,51-9,00"/>
    <n v="7"/>
    <s v="O experiență de neuitat"/>
  </r>
  <r>
    <n v="334"/>
    <n v="2024"/>
    <x v="2"/>
    <x v="6"/>
    <s v="Regiunea București-Ilfov"/>
    <s v="a) Feminin"/>
    <s v="a) filiera teoretică (profilurile umanist şi real)"/>
    <s v="a) mediul urban"/>
    <s v="Fizică"/>
    <n v="7"/>
    <s v="e) M-am pregătit constant pe tot parcursul liceului"/>
    <n v="7"/>
    <n v="10"/>
    <n v="7"/>
    <s v="c) Da, la toate materiile"/>
    <n v="7"/>
    <s v="a) studii superioare, în același an în care am absolvit BAC-ul"/>
    <s v="d) Științe Economice"/>
    <n v="7"/>
    <s v="d) o etapa in care a influențat semnificativ viitoarea mea cariera educațională și profesională;"/>
    <s v="9,01-9,50"/>
    <n v="9"/>
    <s v="lejera"/>
  </r>
  <r>
    <n v="335"/>
    <n v="2024"/>
    <x v="2"/>
    <x v="6"/>
    <s v="Regiunea București-Ilfov"/>
    <s v="a) Feminin"/>
    <s v="a) filiera teoretică (profilurile umanist şi real)"/>
    <s v="a) mediul urban"/>
    <s v="Biologie"/>
    <n v="5"/>
    <s v="a) sub 3 luni"/>
    <n v="1"/>
    <n v="5"/>
    <n v="5"/>
    <s v="d) Nu, m-am pregătit singur(ă)"/>
    <n v="6"/>
    <s v="a) studii superioare, în același an în care am absolvit BAC-ul"/>
    <s v="d) Științe Economice"/>
    <n v="6"/>
    <s v="c) o etapă în care a influențat semnificativ viitoarea mea cariera educațională"/>
    <s v="8,01-8,50"/>
    <n v="9"/>
    <s v="Ok"/>
  </r>
  <r>
    <n v="336"/>
    <n v="2024"/>
    <x v="2"/>
    <x v="6"/>
    <s v="Regiunea București-Ilfov"/>
    <s v="a) Feminin"/>
    <s v="a) filiera teoretică (profilurile umanist şi real)"/>
    <s v="a) mediul urban"/>
    <s v="Geografie"/>
    <n v="7"/>
    <s v="a) sub 3 luni"/>
    <n v="8"/>
    <n v="10"/>
    <n v="8"/>
    <s v="d) Nu, m-am pregătit singur(ă)"/>
    <n v="9"/>
    <s v="a) studii superioare, în același an în care am absolvit BAC-ul"/>
    <s v="d) Științe Economice"/>
    <n v="3"/>
    <s v="a) un pas/o etapa normal(ă) în viață"/>
    <s v="7,51-8,00"/>
    <n v="6"/>
    <s v="Stresantă "/>
  </r>
  <r>
    <n v="337"/>
    <n v="2024"/>
    <x v="2"/>
    <x v="23"/>
    <s v="Regiunea București-Ilfov"/>
    <s v="a) Feminin"/>
    <s v="a) filiera teoretică (profilurile umanist şi real)"/>
    <s v="b) mediul rural"/>
    <s v="Biologie"/>
    <n v="8"/>
    <s v="c) 6- 12 luni"/>
    <n v="7"/>
    <n v="9"/>
    <n v="1"/>
    <s v="c) Da, la toate materiile"/>
    <n v="10"/>
    <s v="a) studii superioare, în același an în care am absolvit BAC-ul"/>
    <s v="d) Științe Economice"/>
    <n v="9"/>
    <s v="c) o etapă în care a influențat semnificativ viitoarea mea cariera educațională"/>
    <s v="8,51-9,00"/>
    <n v="9"/>
    <s v="Stresanta "/>
  </r>
  <r>
    <n v="338"/>
    <n v="2024"/>
    <x v="2"/>
    <x v="15"/>
    <s v="Regiunea Centru"/>
    <s v="b) Masculin"/>
    <s v="a) filiera teoretică (profilurile umanist şi real)"/>
    <s v="a) mediul urban"/>
    <s v="Logică, argumentare și comunicare"/>
    <n v="5"/>
    <s v="a) sub 3 luni"/>
    <n v="4"/>
    <n v="10"/>
    <n v="4"/>
    <s v="c) Da, la toate materiile"/>
    <n v="5"/>
    <s v="a) studii superioare, în același an în care am absolvit BAC-ul"/>
    <s v="i) Agricultură, silvicultură, piscicultură şi ştiinţe veterinare"/>
    <n v="5"/>
    <s v="a) un pas/o etapa normal(ă) în viață"/>
    <s v="8,01-8,50"/>
    <n v="5"/>
    <s v="ok"/>
  </r>
  <r>
    <n v="339"/>
    <n v="2024"/>
    <x v="2"/>
    <x v="11"/>
    <s v="Regiunea Sud-Vest Oltenia"/>
    <s v="b) Masculin"/>
    <s v="a) filiera teoretică (profilurile umanist şi real)"/>
    <s v="a) mediul urban"/>
    <s v="Biologie"/>
    <n v="8"/>
    <s v="e) M-am pregătit constant pe tot parcursul liceului"/>
    <n v="7"/>
    <n v="9"/>
    <n v="7"/>
    <s v="b) Da, la mai multe materii"/>
    <n v="8"/>
    <s v="a) studii superioare, în același an în care am absolvit BAC-ul"/>
    <s v="g) Tehnologia informaţiei şi a comunicaţiilor"/>
    <n v="9"/>
    <s v="a) un pas/o etapa normal(ă) în viață"/>
    <s v="9,01-9,50"/>
    <n v="9"/>
    <s v="stresantă "/>
  </r>
  <r>
    <n v="340"/>
    <n v="2024"/>
    <x v="2"/>
    <x v="28"/>
    <s v="Regiunea Vest"/>
    <s v="b) Masculin"/>
    <s v="a) filiera teoretică (profilurile umanist şi real)"/>
    <s v="b) mediul rural"/>
    <s v="Biologie"/>
    <n v="8"/>
    <s v="b) 3- 6 luni"/>
    <n v="9"/>
    <n v="8"/>
    <n v="9"/>
    <s v="a) Da, la una dintre materii"/>
    <n v="10"/>
    <s v="a) studii superioare, în același an în care am absolvit BAC-ul"/>
    <s v="e) Administraţie şi drept"/>
    <n v="7"/>
    <s v="b) un eveniment deosebit, o reușită, o sărbătoare"/>
    <s v="8,51-9,00"/>
    <n v="8"/>
    <s v="Obositor"/>
  </r>
  <r>
    <n v="341"/>
    <n v="2024"/>
    <x v="2"/>
    <x v="15"/>
    <s v="Regiunea Centru"/>
    <s v="a) Feminin"/>
    <s v="a) filiera teoretică (profilurile umanist şi real)"/>
    <s v="a) mediul urban"/>
    <s v="Biologie"/>
    <n v="7"/>
    <s v="a) sub 3 luni"/>
    <n v="3"/>
    <n v="10"/>
    <n v="6"/>
    <s v="b) Da, la mai multe materii"/>
    <n v="8"/>
    <s v="a) studii superioare, în același an în care am absolvit BAC-ul"/>
    <s v="Drept"/>
    <n v="8"/>
    <s v="c) o etapă în care a influențat semnificativ viitoarea mea cariera educațională"/>
    <s v="9,01-9,50"/>
    <n v="8"/>
    <s v="Stresantă "/>
  </r>
  <r>
    <n v="342"/>
    <n v="2024"/>
    <x v="2"/>
    <x v="10"/>
    <s v="Regiunea Sud-Muntenia"/>
    <s v="b) Masculin"/>
    <s v="a) filiera teoretică (profilurile umanist şi real)"/>
    <s v="a) mediul urban"/>
    <s v="Geografie"/>
    <n v="3"/>
    <s v="b) 3- 6 luni"/>
    <n v="1"/>
    <n v="9"/>
    <n v="5"/>
    <s v="a) Da, la una dintre materii"/>
    <n v="5"/>
    <s v="a) studii superioare, în același an în care am absolvit BAC-ul"/>
    <s v="g) Tehnologia informaţiei şi a comunicaţiilor"/>
    <n v="7"/>
    <s v="a) un pas/o etapa normal(ă) în viață"/>
    <s v="8,51-9,00"/>
    <n v="7"/>
    <s v="Ok"/>
  </r>
  <r>
    <n v="343"/>
    <n v="2024"/>
    <x v="2"/>
    <x v="26"/>
    <s v="Regiunea Sud-Vest Oltenia"/>
    <s v="a) Feminin"/>
    <s v="a) filiera teoretică (profilurile umanist şi real)"/>
    <s v="a) mediul urban"/>
    <s v="Logică, argumentare și comunicare"/>
    <n v="5"/>
    <s v="b) 3- 6 luni"/>
    <n v="7"/>
    <n v="9"/>
    <n v="8"/>
    <s v="b) Da, la mai multe materii"/>
    <n v="7"/>
    <s v="a) studii superioare, în același an în care am absolvit BAC-ul"/>
    <s v="Științe politice "/>
    <n v="7"/>
    <s v="e) o etapa în care a influențat semnificativ dezvoltarea mea personală (în sens pozitiv)"/>
    <s v="9,01-9,50"/>
    <n v="10"/>
    <s v="Stresant "/>
  </r>
  <r>
    <n v="344"/>
    <n v="2024"/>
    <x v="2"/>
    <x v="36"/>
    <s v="Regiunea Nord-Vest"/>
    <s v="a) Feminin"/>
    <s v="a) filiera teoretică (profilurile umanist şi real)"/>
    <s v="a) mediul urban"/>
    <s v="Biologie"/>
    <n v="7"/>
    <s v="c) 6- 12 luni"/>
    <n v="6"/>
    <n v="5"/>
    <n v="8"/>
    <s v="d) Nu, m-am pregătit singur(ă)"/>
    <n v="9"/>
    <s v="a) studii superioare, în același an în care am absolvit BAC-ul"/>
    <s v="j) Sănătate şi asistenţă socială"/>
    <n v="7"/>
    <s v="a) un pas/o etapa normal(ă) în viață, e) o etapa în care a influențat semnificativ dezvoltarea mea personală (în sens pozitiv)"/>
    <s v="9,51-10"/>
    <n v="10"/>
    <s v="Se putea mai bine."/>
  </r>
  <r>
    <n v="345"/>
    <n v="2024"/>
    <x v="2"/>
    <x v="5"/>
    <s v="Regiunea Nord-Vest"/>
    <s v="a) Feminin"/>
    <s v="a) filiera teoretică (profilurile umanist şi real)"/>
    <s v="a) mediul urban"/>
    <s v="Chimie"/>
    <n v="5"/>
    <s v="a) sub 3 luni"/>
    <n v="10"/>
    <n v="10"/>
    <n v="10"/>
    <s v="d) Nu, m-am pregătit singur(ă)"/>
    <n v="5"/>
    <s v="a) studii superioare, în același an în care am absolvit BAC-ul"/>
    <s v="j) Sănătate şi asistenţă socială"/>
    <n v="10"/>
    <s v="a) un pas/o etapa normal(ă) în viață"/>
    <s v="9,01-9,50"/>
    <n v="10"/>
    <s v="Interesantă "/>
  </r>
  <r>
    <n v="346"/>
    <n v="2024"/>
    <x v="2"/>
    <x v="6"/>
    <s v="Regiunea București-Ilfov"/>
    <s v="b) Masculin"/>
    <s v="b) filiera tehnologică (profilurile tehnic, servicii, economic, resurse naturale şi protecţia mediului)"/>
    <s v="a) mediul urban"/>
    <s v="Biologie"/>
    <n v="6"/>
    <s v="b) 3- 6 luni"/>
    <n v="5"/>
    <n v="7"/>
    <n v="6"/>
    <s v="a) Da, la una dintre materii"/>
    <n v="7"/>
    <s v="a) studii superioare, în același an în care am absolvit BAC-ul"/>
    <s v="i) Agricultură, silvicultură, piscicultură şi ştiinţe veterinare"/>
    <n v="6"/>
    <s v="a) un pas/o etapa normal(ă) în viață, d) o etapa in care a influențat semnificativ viitoarea mea cariera educațională și profesională;"/>
    <s v="6,51-7,00"/>
    <n v="6"/>
    <s v="Ok"/>
  </r>
  <r>
    <n v="347"/>
    <n v="2024"/>
    <x v="2"/>
    <x v="6"/>
    <s v="Regiunea București-Ilfov"/>
    <s v="a) Feminin"/>
    <s v="a) filiera teoretică (profilurile umanist şi real)"/>
    <s v="a) mediul urban"/>
    <s v="Geografie"/>
    <n v="5"/>
    <s v="c) 6- 12 luni"/>
    <n v="8"/>
    <n v="10"/>
    <n v="7"/>
    <s v="b) Da, la mai multe materii"/>
    <n v="7"/>
    <s v="a) studii superioare, în același an în care am absolvit BAC-ul"/>
    <s v="a) Educație"/>
    <n v="7"/>
    <s v="d) o etapa in care a influențat semnificativ viitoarea mea cariera educațională și profesională;, e) o etapa în care a influențat semnificativ dezvoltarea mea personală (în sens pozitiv), Să mă pot angaja la un job mai bun."/>
    <s v="8,51-9,00"/>
    <n v="7"/>
    <s v="Normală"/>
  </r>
  <r>
    <n v="348"/>
    <n v="2024"/>
    <x v="2"/>
    <x v="6"/>
    <s v="Regiunea București-Ilfov"/>
    <s v="a) Feminin"/>
    <s v="a) filiera teoretică (profilurile umanist şi real)"/>
    <s v="a) mediul urban"/>
    <s v="Biologie"/>
    <n v="8"/>
    <s v="b) 3- 6 luni"/>
    <n v="6"/>
    <n v="9"/>
    <n v="8"/>
    <s v="c) Da, la toate materiile"/>
    <n v="9"/>
    <s v="a) studii superioare, în același an în care am absolvit BAC-ul"/>
    <s v="a) Educație, d) Științe Economice"/>
    <n v="8"/>
    <s v="b) un eveniment deosebit, o reușită, o sărbătoare"/>
    <s v="9,01-9,50"/>
    <n v="9"/>
    <s v="stresanta"/>
  </r>
  <r>
    <n v="349"/>
    <n v="2024"/>
    <x v="2"/>
    <x v="11"/>
    <s v="Regiunea Sud-Vest Oltenia"/>
    <s v="b) Masculin"/>
    <s v="a) filiera teoretică (profilurile umanist şi real)"/>
    <s v="a) mediul urban"/>
    <s v="Biologie"/>
    <n v="7"/>
    <s v="d) 12- 24 luni"/>
    <n v="8"/>
    <n v="10"/>
    <n v="9"/>
    <s v="b) Da, la mai multe materii"/>
    <n v="7"/>
    <s v="a) studii superioare, în același an în care am absolvit BAC-ul"/>
    <s v="f) Ştiinţele naturii, matematică şi statistică"/>
    <n v="8"/>
    <s v="a) un pas/o etapa normal(ă) în viață, c) o etapă în care a influențat semnificativ viitoarea mea cariera educațională, d) o etapa in care a influențat semnificativ viitoarea mea cariera educațională și profesională;, e) o etapa în care a influențat semnificativ dezvoltarea mea personală (în sens pozitiv)"/>
    <s v="9,01-9,50"/>
    <n v="9"/>
    <s v="Stresant "/>
  </r>
  <r>
    <n v="350"/>
    <n v="2024"/>
    <x v="2"/>
    <x v="6"/>
    <s v="Regiunea București-Ilfov"/>
    <s v="b) Masculin"/>
    <s v="a) filiera teoretică (profilurile umanist şi real)"/>
    <s v="a) mediul urban"/>
    <s v="Fizică"/>
    <n v="6"/>
    <s v="c) 6- 12 luni"/>
    <n v="8"/>
    <n v="10"/>
    <n v="8"/>
    <s v="c) Da, la toate materiile"/>
    <n v="8"/>
    <s v="a) studii superioare, în același an în care am absolvit BAC-ul"/>
    <s v="f) Ştiinţele naturii, matematică şi statistică"/>
    <n v="8"/>
    <s v="a) un pas/o etapa normal(ă) în viață"/>
    <s v="9,51-10"/>
    <n v="10"/>
    <s v="Stresant"/>
  </r>
  <r>
    <n v="351"/>
    <n v="2024"/>
    <x v="2"/>
    <x v="6"/>
    <s v="Regiunea București-Ilfov"/>
    <s v="a) Feminin"/>
    <s v="a) filiera teoretică (profilurile umanist şi real)"/>
    <s v="a) mediul urban"/>
    <s v="Informatică"/>
    <n v="8"/>
    <s v="c) 6- 12 luni"/>
    <n v="8"/>
    <n v="10"/>
    <n v="5"/>
    <s v="b) Da, la mai multe materii"/>
    <n v="10"/>
    <s v="a) studii superioare, în același an în care am absolvit BAC-ul"/>
    <s v="d) Științe Economice, f) Ştiinţele naturii, matematică şi statistică, g) Tehnologia informaţiei şi a comunicaţiilor"/>
    <n v="10"/>
    <s v="a) un pas/o etapa normal(ă) în viață, d) o etapa in care a influențat semnificativ viitoarea mea cariera educațională și profesională;, e) o etapa în care a influențat semnificativ dezvoltarea mea personală (în sens pozitiv)"/>
    <s v="9,51-10"/>
    <n v="10"/>
    <s v="Stresanta"/>
  </r>
  <r>
    <n v="352"/>
    <n v="2024"/>
    <x v="2"/>
    <x v="1"/>
    <s v="Regiunea Sud-Est"/>
    <s v="b) Masculin"/>
    <s v="a) filiera teoretică (profilurile umanist şi real)"/>
    <s v="a) mediul urban"/>
    <s v="Informatică"/>
    <n v="7"/>
    <s v="b) 3- 6 luni"/>
    <n v="7"/>
    <n v="9"/>
    <n v="7"/>
    <s v="b) Da, la mai multe materii"/>
    <n v="8"/>
    <s v="a) studii superioare, în același an în care am absolvit BAC-ul"/>
    <s v="d) Științe Economice, g) Tehnologia informaţiei şi a comunicaţiilor"/>
    <n v="8"/>
    <s v="b) un eveniment deosebit, o reușită, o sărbătoare, d) o etapa in care a influențat semnificativ viitoarea mea cariera educațională și profesională;"/>
    <s v="8,51-9,00"/>
    <n v="7"/>
    <s v="Stresanta"/>
  </r>
  <r>
    <n v="353"/>
    <n v="2024"/>
    <x v="2"/>
    <x v="1"/>
    <s v="Regiunea Sud-Est"/>
    <s v="b) Masculin"/>
    <s v="a) filiera teoretică (profilurile umanist şi real)"/>
    <s v="a) mediul urban"/>
    <s v="Geografie"/>
    <n v="3"/>
    <s v="a) sub 3 luni"/>
    <n v="7"/>
    <n v="10"/>
    <n v="10"/>
    <s v="d) Nu, m-am pregătit singur(ă)"/>
    <n v="10"/>
    <s v="a) studii superioare, în același an în care am absolvit BAC-ul"/>
    <s v="FEFS și pedagogie"/>
    <n v="5"/>
    <s v="b) un eveniment deosebit, o reușită, o sărbătoare"/>
    <s v="7,51-8,00"/>
    <n v="8"/>
    <s v="Lejer"/>
  </r>
  <r>
    <n v="354"/>
    <n v="2024"/>
    <x v="2"/>
    <x v="1"/>
    <s v="Regiunea Sud-Est"/>
    <s v="a) Feminin"/>
    <s v="a) filiera teoretică (profilurile umanist şi real)"/>
    <s v="a) mediul urban"/>
    <s v="Geografie"/>
    <n v="3"/>
    <s v="a) sub 3 luni"/>
    <n v="1"/>
    <n v="10"/>
    <n v="8"/>
    <s v="a) Da, la una dintre materii"/>
    <n v="10"/>
    <s v="a) studii superioare, în același an în care am absolvit BAC-ul"/>
    <s v="Litere"/>
    <n v="10"/>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7,51-8,00"/>
    <n v="8"/>
    <s v="stresantă "/>
  </r>
  <r>
    <n v="355"/>
    <n v="2024"/>
    <x v="2"/>
    <x v="6"/>
    <s v="Regiunea București-Ilfov"/>
    <s v="b) Masculin"/>
    <s v="a) filiera teoretică (profilurile umanist şi real)"/>
    <s v="a) mediul urban"/>
    <s v="Biologie"/>
    <n v="7"/>
    <s v="a) sub 3 luni"/>
    <n v="5"/>
    <n v="6"/>
    <n v="7"/>
    <s v="d) Nu, m-am pregătit singur(ă)"/>
    <n v="9"/>
    <s v="a) studii superioare, în același an în care am absolvit BAC-ul"/>
    <s v="h) Inginerie, producţie şi construcţii"/>
    <n v="9"/>
    <s v="a) un pas/o etapa normal(ă) în viață, b) un eveniment deosebit, o reușită, o sărbătoare"/>
    <s v="8,01-8,50"/>
    <n v="9"/>
    <s v="Stresanta"/>
  </r>
  <r>
    <n v="356"/>
    <n v="2024"/>
    <x v="2"/>
    <x v="6"/>
    <s v="Regiunea București-Ilfov"/>
    <s v="a) Feminin"/>
    <s v="b) filiera tehnologică (profilurile tehnic, servicii, economic, resurse naturale şi protecţia mediului)"/>
    <s v="a) mediul urban"/>
    <s v="Geografie"/>
    <n v="5"/>
    <s v="a) sub 3 luni"/>
    <n v="3"/>
    <n v="10"/>
    <n v="6"/>
    <s v="c) Da, la toate materiile"/>
    <n v="5"/>
    <s v="a) studii superioare, în același an în care am absolvit BAC-ul"/>
    <s v="d) Științe Economice"/>
    <n v="5"/>
    <s v="b) un eveniment deosebit, o reușită, o sărbătoare"/>
    <s v="8,51-9,00"/>
    <n v="9"/>
    <s v="Ok"/>
  </r>
  <r>
    <n v="357"/>
    <n v="2024"/>
    <x v="2"/>
    <x v="3"/>
    <s v="Regiunea Sud-Est"/>
    <s v="b) Masculin"/>
    <s v="b) filiera tehnologică (profilurile tehnic, servicii, economic, resurse naturale şi protecţia mediului)"/>
    <s v="a) mediul urban"/>
    <s v="Psihologie"/>
    <n v="6"/>
    <s v="c) 6- 12 luni"/>
    <n v="2"/>
    <n v="10"/>
    <n v="4"/>
    <s v="b) Da, la mai multe materii"/>
    <n v="10"/>
    <s v="a) studii superioare, în același an în care am absolvit BAC-ul"/>
    <s v="f) Ştiinţele naturii, matematică şi statistică"/>
    <n v="7"/>
    <s v="c) o etapă în care a influențat semnificativ viitoarea mea cariera educațională, e) o etapa în care a influențat semnificativ dezvoltarea mea personală (în sens pozitiv)"/>
    <s v="8,51-9,00"/>
    <n v="7"/>
    <s v="Dificila"/>
  </r>
  <r>
    <n v="358"/>
    <n v="2024"/>
    <x v="2"/>
    <x v="0"/>
    <s v="Regiunea Nord-Est"/>
    <s v="a) Feminin"/>
    <s v="b) filiera tehnologică (profilurile tehnic, servicii, economic, resurse naturale şi protecţia mediului)"/>
    <s v="a) mediul urban"/>
    <s v="Logică, argumentare și comunicare"/>
    <n v="7"/>
    <s v="c) 6- 12 luni"/>
    <n v="4"/>
    <n v="10"/>
    <n v="5"/>
    <s v="c) Da, la toate materiile"/>
    <n v="10"/>
    <s v="a) studii superioare, în același an în care am absolvit BAC-ul"/>
    <s v="d) Științe Economice"/>
    <n v="10"/>
    <s v="d) o etapa in care a influențat semnificativ viitoarea mea cariera educațională și profesională;"/>
    <s v="8,51-9,00"/>
    <n v="6"/>
    <s v="Grea"/>
  </r>
  <r>
    <n v="359"/>
    <n v="2024"/>
    <x v="2"/>
    <x v="6"/>
    <s v="Regiunea București-Ilfov"/>
    <s v="a) Feminin"/>
    <s v="a) filiera teoretică (profilurile umanist şi real)"/>
    <s v="a) mediul urban"/>
    <s v="Sociologie"/>
    <n v="7"/>
    <s v="a) sub 3 luni"/>
    <n v="10"/>
    <n v="10"/>
    <n v="10"/>
    <s v="d) Nu, m-am pregătit singur(ă)"/>
    <n v="7"/>
    <s v="a) studii superioare, în același an în care am absolvit BAC-ul"/>
    <s v="d) Științe Economice"/>
    <n v="1"/>
    <s v="a) un pas/o etapa normal(ă) în viață"/>
    <s v="7,01-7,50"/>
    <n v="8"/>
    <s v="fara emotii"/>
  </r>
  <r>
    <n v="360"/>
    <n v="2024"/>
    <x v="2"/>
    <x v="1"/>
    <s v="Regiunea Sud-Est"/>
    <s v="a) Feminin"/>
    <s v="a) filiera teoretică (profilurile umanist şi real)"/>
    <s v="a) mediul urban"/>
    <s v="Sociologie"/>
    <n v="6"/>
    <s v="b) 3- 6 luni"/>
    <n v="5"/>
    <n v="10"/>
    <n v="8"/>
    <s v="c) Da, la toate materiile"/>
    <n v="10"/>
    <s v="a) studii superioare, în același an în care am absolvit BAC-ul"/>
    <s v="Turism"/>
    <n v="5"/>
    <s v="a) un pas/o etapa normal(ă) în viață"/>
    <s v="9,01-9,50"/>
    <n v="9"/>
    <s v="Stresanta"/>
  </r>
  <r>
    <n v="361"/>
    <n v="2024"/>
    <x v="2"/>
    <x v="1"/>
    <s v="Regiunea Sud-Est"/>
    <s v="a) Feminin"/>
    <s v="a) filiera teoretică (profilurile umanist şi real)"/>
    <s v="a) mediul urban"/>
    <s v="Logică, argumentare și comunicare"/>
    <n v="5"/>
    <s v="a) sub 3 luni"/>
    <n v="2"/>
    <n v="8"/>
    <n v="3"/>
    <s v="d) Nu, m-am pregătit singur(ă)"/>
    <n v="7"/>
    <s v="a) studii superioare, în același an în care am absolvit BAC-ul"/>
    <s v="j) Sănătate şi asistenţă socială"/>
    <n v="2"/>
    <s v="a) un pas/o etapa normal(ă) în viață"/>
    <s v="8,01-8,50"/>
    <n v="7"/>
    <s v="Normală"/>
  </r>
  <r>
    <n v="362"/>
    <n v="2024"/>
    <x v="2"/>
    <x v="18"/>
    <s v="Regiunea Sud-Est"/>
    <s v="a) Feminin"/>
    <s v="a) filiera teoretică (profilurile umanist şi real)"/>
    <s v="a) mediul urban"/>
    <s v="Fizică"/>
    <n v="5"/>
    <s v="c) 6- 12 luni"/>
    <n v="3"/>
    <n v="8"/>
    <n v="4"/>
    <s v="b) Da, la mai multe materii"/>
    <n v="8"/>
    <s v="a) studii superioare, în același an în care am absolvit BAC-ul"/>
    <s v="f) Ştiinţele naturii, matematică şi statistică"/>
    <n v="10"/>
    <s v="c) o etapă în care a influențat semnificativ viitoarea mea cariera educațională"/>
    <s v="9,51-10"/>
    <n v="9"/>
    <s v="Stresanta"/>
  </r>
  <r>
    <n v="363"/>
    <n v="2024"/>
    <x v="2"/>
    <x v="16"/>
    <s v="Regiunea Vest"/>
    <s v="b) Masculin"/>
    <s v="a) filiera teoretică (profilurile umanist şi real)"/>
    <s v="a) mediul urban"/>
    <s v="Nu a fost cazul"/>
    <n v="7"/>
    <s v="b) 3- 6 luni"/>
    <n v="9"/>
    <n v="10"/>
    <n v="10"/>
    <s v="a) Da, la una dintre materii"/>
    <n v="6"/>
    <s v="f) studii postliceale / învățământ profesional terțiar"/>
    <s v="c) Ştiinţe sociale, jurnalism şi informare"/>
    <n v="8"/>
    <s v="a) un pas/o etapa normal(ă) în viață"/>
    <s v="8,01-8,50"/>
    <n v="8"/>
    <s v="Interesanta "/>
  </r>
  <r>
    <n v="364"/>
    <n v="2024"/>
    <x v="2"/>
    <x v="6"/>
    <s v="Regiunea București-Ilfov"/>
    <s v="a) Feminin"/>
    <s v="a) filiera teoretică (profilurile umanist şi real)"/>
    <s v="a) mediul urban"/>
    <s v="Biologie"/>
    <n v="7"/>
    <s v="b) 3- 6 luni"/>
    <n v="8"/>
    <n v="7"/>
    <n v="9"/>
    <s v="d) Nu, m-am pregătit singur(ă)"/>
    <n v="9"/>
    <s v="a) studii superioare, în același an în care am absolvit BAC-ul"/>
    <s v="d) Științe Economice"/>
    <n v="8"/>
    <s v="a) un pas/o etapa normal(ă) în viață"/>
    <s v="8,51-9,00"/>
    <n v="8"/>
    <s v="Maturitate "/>
  </r>
  <r>
    <n v="365"/>
    <n v="2024"/>
    <x v="2"/>
    <x v="0"/>
    <s v="Regiunea Nord-Est"/>
    <s v="b) Masculin"/>
    <s v="b) filiera tehnologică (profilurile tehnic, servicii, economic, resurse naturale şi protecţia mediului)"/>
    <s v="b) mediul rural"/>
    <s v="Biologie"/>
    <n v="9"/>
    <s v="a) sub 3 luni"/>
    <n v="9"/>
    <n v="7"/>
    <n v="10"/>
    <s v="b) Da, la mai multe materii"/>
    <n v="8"/>
    <s v="g) Nu am mai urmat alte studii"/>
    <s v="g) Tehnologia informaţiei şi a comunicaţiilor"/>
    <n v="1"/>
    <s v="a) un pas/o etapa normal(ă) în viață"/>
    <s v="sub 6,50"/>
    <n v="6"/>
    <s v="Nu stiu"/>
  </r>
  <r>
    <n v="366"/>
    <n v="2024"/>
    <x v="2"/>
    <x v="26"/>
    <s v="Regiunea Sud-Vest Oltenia"/>
    <s v="b) Masculin"/>
    <s v="a) filiera teoretică (profilurile umanist şi real)"/>
    <s v="a) mediul urban"/>
    <s v="Biologie"/>
    <n v="8"/>
    <s v="c) 6- 12 luni"/>
    <n v="5"/>
    <n v="8"/>
    <n v="4"/>
    <s v="a) Da, la una dintre materii"/>
    <n v="10"/>
    <s v="f) studii postliceale / învățământ profesional terțiar"/>
    <s v="e) Administraţie şi drept"/>
    <n v="8"/>
    <s v="a) un pas/o etapa normal(ă) în viață, d) o etapa in care a influențat semnificativ viitoarea mea cariera educațională și profesională;"/>
    <s v="7,01-7,50"/>
    <n v="8"/>
    <s v="Dificila"/>
  </r>
  <r>
    <n v="367"/>
    <n v="2024"/>
    <x v="2"/>
    <x v="26"/>
    <s v="Regiunea Sud-Vest Oltenia"/>
    <s v="a) Feminin"/>
    <s v="a) filiera teoretică (profilurile umanist şi real)"/>
    <s v="a) mediul urban"/>
    <s v="Logică, argumentare și comunicare"/>
    <n v="7"/>
    <s v="c) 6- 12 luni"/>
    <n v="7"/>
    <n v="9"/>
    <n v="8"/>
    <s v="a) Da, la una dintre materii"/>
    <n v="7"/>
    <s v="c) studii superioare, la 2-3 ani de la absolvire, f) studii postliceale / învățământ profesional terțiar"/>
    <s v="j) Sănătate şi asistenţă socială"/>
    <n v="8"/>
    <s v="a) un pas/o etapa normal(ă) în viață, e) o etapa în care a influențat semnificativ dezvoltarea mea personală (în sens pozitiv)"/>
    <s v="7,51-8,00"/>
    <n v="9"/>
    <s v="Ok"/>
  </r>
  <r>
    <n v="368"/>
    <n v="2024"/>
    <x v="2"/>
    <x v="2"/>
    <s v="Regiunea Sud-Muntenia"/>
    <s v="a) Feminin"/>
    <s v="c) filiera vocaţională (profilurile militar, teologic, sportiv, artistic şi pedagogic)"/>
    <s v="a) mediul urban"/>
    <s v="Psihologie"/>
    <n v="7"/>
    <s v="a) sub 3 luni"/>
    <n v="8"/>
    <n v="10"/>
    <n v="10"/>
    <s v="d) Nu, m-am pregătit singur(ă)"/>
    <n v="6"/>
    <s v="g) Nu am mai urmat alte studii"/>
    <s v="a) Educație"/>
    <n v="10"/>
    <s v="a) un pas/o etapa normal(ă) în viață, b) un eveniment deosebit, o reușită, o sărbătoare, d) o etapa in care a influențat semnificativ viitoarea mea cariera educațională și profesională;"/>
    <s v="8,01-8,50"/>
    <n v="8"/>
    <s v="Normalitate "/>
  </r>
  <r>
    <n v="369"/>
    <n v="2024"/>
    <x v="2"/>
    <x v="9"/>
    <s v="Regiunea Sud-Est"/>
    <s v="b) Masculin"/>
    <s v="b) filiera tehnologică (profilurile tehnic, servicii, economic, resurse naturale şi protecţia mediului)"/>
    <s v="a) mediul urban"/>
    <s v="Biologie"/>
    <n v="7"/>
    <s v="b) 3- 6 luni"/>
    <n v="9"/>
    <n v="10"/>
    <n v="10"/>
    <s v="d) Nu, m-am pregătit singur(ă)"/>
    <n v="3"/>
    <s v="g) Nu am mai urmat alte studii"/>
    <s v="h) Inginerie, producţie şi construcţii"/>
    <n v="9"/>
    <s v="b) un eveniment deosebit, o reușită, o sărbătoare"/>
    <s v="6,51-7,00"/>
    <n v="7"/>
    <s v="Ok"/>
  </r>
  <r>
    <n v="370"/>
    <n v="2024"/>
    <x v="2"/>
    <x v="26"/>
    <s v="Regiunea Sud-Vest Oltenia"/>
    <s v="a) Feminin"/>
    <s v="a) filiera teoretică (profilurile umanist şi real)"/>
    <s v="a) mediul urban"/>
    <s v="Logică, argumentare și comunicare"/>
    <n v="4"/>
    <s v="a) sub 3 luni"/>
    <n v="5"/>
    <n v="1"/>
    <n v="7"/>
    <s v="d) Nu, m-am pregătit singur(ă)"/>
    <n v="10"/>
    <s v="a) studii superioare, în același an în care am absolvit BAC-ul"/>
    <s v="e) Administraţie şi drept"/>
    <n v="8"/>
    <s v="a) un pas/o etapa normal(ă) în viață"/>
    <s v="9,01-9,50"/>
    <n v="10"/>
    <s v="Firească "/>
  </r>
  <r>
    <n v="371"/>
    <n v="2024"/>
    <x v="2"/>
    <x v="3"/>
    <s v="Regiunea Sud-Est"/>
    <s v="a) Feminin"/>
    <s v="a) filiera teoretică (profilurile umanist şi real)"/>
    <s v="a) mediul urban"/>
    <s v="Logică, argumentare și comunicare"/>
    <n v="10"/>
    <s v="b) 3- 6 luni"/>
    <n v="1"/>
    <n v="10"/>
    <n v="1"/>
    <s v="d) Nu, m-am pregătit singur(ă)"/>
    <n v="10"/>
    <s v="a) studii superioare, în același an în care am absolvit BAC-ul"/>
    <s v="g) Tehnologia informaţiei şi a comunicaţiilor"/>
    <n v="5"/>
    <s v="c) o etapă în care a influențat semnificativ viitoarea mea cariera educațională"/>
    <s v="6,51-7,00"/>
    <n v="5"/>
    <s v="Stres"/>
  </r>
  <r>
    <n v="372"/>
    <n v="2024"/>
    <x v="2"/>
    <x v="6"/>
    <s v="Regiunea București-Ilfov"/>
    <s v="a) Feminin"/>
    <s v="a) filiera teoretică (profilurile umanist şi real)"/>
    <s v="a) mediul urban"/>
    <s v="Psihologie"/>
    <n v="3"/>
    <s v="c) 6- 12 luni"/>
    <n v="4"/>
    <n v="5"/>
    <n v="5"/>
    <s v="c) Da, la toate materiile"/>
    <n v="10"/>
    <s v="a) studii superioare, în același an în care am absolvit BAC-ul"/>
    <s v="e) Administraţie şi drept"/>
    <n v="7"/>
    <s v="a) un pas/o etapa normal(ă) în viață, 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7,51-8,00"/>
    <n v="8"/>
    <s v="Frumoasa"/>
  </r>
  <r>
    <n v="373"/>
    <n v="2024"/>
    <x v="2"/>
    <x v="6"/>
    <s v="Regiunea București-Ilfov"/>
    <s v="a) Feminin"/>
    <s v="a) filiera teoretică (profilurile umanist şi real)"/>
    <s v="a) mediul urban"/>
    <s v="Geografie"/>
    <n v="4"/>
    <s v="d) 12- 24 luni"/>
    <n v="10"/>
    <n v="10"/>
    <n v="10"/>
    <s v="a) Da, la una dintre materii"/>
    <n v="7"/>
    <s v="a) studii superioare, în același an în care am absolvit BAC-ul"/>
    <s v="j) Sănătate şi asistenţă socială"/>
    <n v="10"/>
    <s v="e) o etapa în care a influențat semnificativ dezvoltarea mea personală (în sens pozitiv)"/>
    <s v="9,01-9,50"/>
    <n v="10"/>
    <s v="O experienta necesara"/>
  </r>
  <r>
    <n v="374"/>
    <n v="2024"/>
    <x v="2"/>
    <x v="21"/>
    <s v="Regiunea Sud-Muntenia"/>
    <s v="a) Feminin"/>
    <s v="a) filiera teoretică (profilurile umanist şi real)"/>
    <s v="a) mediul urban"/>
    <s v="Biologie"/>
    <n v="7"/>
    <s v="c) 6- 12 luni"/>
    <n v="9"/>
    <n v="10"/>
    <n v="10"/>
    <s v="a) Da, la una dintre materii"/>
    <n v="10"/>
    <s v="a) studii superioare, în același an în care am absolvit BAC-ul"/>
    <s v="d) Științe Economice"/>
    <n v="9"/>
    <s v="d) o etapa in care a influențat semnificativ viitoarea mea cariera educațională și profesională;"/>
    <s v="7,51-8,00"/>
    <n v="8"/>
    <s v="Stresantă "/>
  </r>
  <r>
    <n v="375"/>
    <n v="2024"/>
    <x v="2"/>
    <x v="6"/>
    <s v="Regiunea București-Ilfov"/>
    <s v="a) Feminin"/>
    <s v="b) filiera tehnologică (profilurile tehnic, servicii, economic, resurse naturale şi protecţia mediului)"/>
    <s v="a) mediul urban"/>
    <s v="Geografie"/>
    <n v="6"/>
    <s v="c) 6- 12 luni"/>
    <n v="9"/>
    <n v="6"/>
    <n v="10"/>
    <s v="a) Da, la una dintre materii"/>
    <n v="10"/>
    <s v="a) studii superioare, în același an în care am absolvit BAC-ul"/>
    <s v="d) Științe Economice"/>
    <n v="8"/>
    <s v="b) un eveniment deosebit, o reușită, o sărbătoare, e) o etapa în care a influențat semnificativ dezvoltarea mea personală (în sens pozitiv)"/>
    <s v="9,01-9,50"/>
    <n v="10"/>
    <s v="Stresantă "/>
  </r>
  <r>
    <n v="376"/>
    <n v="2024"/>
    <x v="2"/>
    <x v="21"/>
    <s v="Regiunea Sud-Muntenia"/>
    <s v="a) Feminin"/>
    <s v="b) filiera tehnologică (profilurile tehnic, servicii, economic, resurse naturale şi protecţia mediului)"/>
    <s v="a) mediul urban"/>
    <s v="Geografie"/>
    <n v="7"/>
    <s v="c) 6- 12 luni"/>
    <n v="8"/>
    <n v="5"/>
    <n v="9"/>
    <s v="a) Da, la una dintre materii"/>
    <n v="6"/>
    <s v="a) studii superioare, în același an în care am absolvit BAC-ul"/>
    <s v="h) Inginerie, producţie şi construcţii"/>
    <n v="7"/>
    <s v="c) o etapă în care a influențat semnificativ viitoarea mea cariera educațională"/>
    <s v="6,51-7,00"/>
    <n v="9"/>
    <s v="Maturitate"/>
  </r>
  <r>
    <n v="377"/>
    <n v="2024"/>
    <x v="2"/>
    <x v="9"/>
    <s v="Regiunea Sud-Est"/>
    <s v="a) Feminin"/>
    <s v="a) filiera teoretică (profilurile umanist şi real)"/>
    <s v="a) mediul urban"/>
    <s v="Biologie"/>
    <n v="7"/>
    <s v="c) 6- 12 luni"/>
    <n v="8"/>
    <n v="5"/>
    <n v="7"/>
    <s v="a) Da, la una dintre materii"/>
    <n v="9"/>
    <s v="a) studii superioare, în același an în care am absolvit BAC-ul"/>
    <s v="Informatica "/>
    <n v="8"/>
    <s v="a) un pas/o etapa normal(ă) în viață"/>
    <s v="9,01-9,50"/>
    <n v="8"/>
    <s v="Stresanta "/>
  </r>
  <r>
    <n v="378"/>
    <n v="2024"/>
    <x v="2"/>
    <x v="15"/>
    <s v="Regiunea Centru"/>
    <s v="a) Feminin"/>
    <s v="c) filiera vocaţională (profilurile militar, teologic, sportiv, artistic şi pedagogic)"/>
    <s v="a) mediul urban"/>
    <s v="Logică, argumentare și comunicare"/>
    <n v="7"/>
    <s v="d) 12- 24 luni"/>
    <n v="9"/>
    <n v="9"/>
    <n v="5"/>
    <s v="c) Da, la toate materiile"/>
    <n v="10"/>
    <s v="a) studii superioare, în același an în care am absolvit BAC-ul"/>
    <s v="a) Educație, b) Arte şi ştiinţe umaniste, c) Ştiinţe sociale, jurnalism şi informare"/>
    <n v="8"/>
    <s v="d) o etapa in care a influențat semnificativ viitoarea mea cariera educațională și profesională;, e) o etapa în care a influențat semnificativ dezvoltarea mea personală (în sens pozitiv)"/>
    <s v="9,51-10"/>
    <n v="10"/>
    <s v="Stresantă"/>
  </r>
  <r>
    <n v="379"/>
    <n v="2024"/>
    <x v="2"/>
    <x v="6"/>
    <s v="Regiunea București-Ilfov"/>
    <s v="a) Feminin"/>
    <s v="a) filiera teoretică (profilurile umanist şi real)"/>
    <s v="a) mediul urban"/>
    <s v="Informatică"/>
    <n v="5"/>
    <s v="c) 6- 12 luni"/>
    <n v="8"/>
    <n v="10"/>
    <n v="6"/>
    <s v="c) Da, la toate materiile"/>
    <n v="7"/>
    <s v="a) studii superioare, în același an în care am absolvit BAC-ul"/>
    <s v="g) Tehnologia informaţiei şi a comunicaţiilor"/>
    <n v="10"/>
    <s v="a) un pas/o etapa normal(ă) în viață"/>
    <s v="9,51-10"/>
    <n v="9"/>
    <s v="stresanta "/>
  </r>
  <r>
    <n v="380"/>
    <n v="2024"/>
    <x v="2"/>
    <x v="19"/>
    <s v="Regiunea Centru"/>
    <s v="b) Masculin"/>
    <s v="c) filiera vocaţională (profilurile militar, teologic, sportiv, artistic şi pedagogic)"/>
    <s v="a) mediul urban"/>
    <s v="Fizică"/>
    <n v="5"/>
    <s v="b) 3- 6 luni"/>
    <n v="4"/>
    <n v="10"/>
    <n v="8"/>
    <s v="d) Nu, m-am pregătit singur(ă)"/>
    <n v="7"/>
    <s v="a) studii superioare, în același an în care am absolvit BAC-ul"/>
    <s v="d) Științe Economice"/>
    <n v="10"/>
    <s v="d) o etapa in care a influențat semnificativ viitoarea mea cariera educațională și profesională;"/>
    <s v="9,01-9,50"/>
    <n v="10"/>
    <s v="Multă muncă "/>
  </r>
  <r>
    <n v="381"/>
    <n v="2024"/>
    <x v="2"/>
    <x v="2"/>
    <s v="Regiunea Sud-Muntenia"/>
    <s v="a) Feminin"/>
    <s v="c) filiera vocaţională (profilurile militar, teologic, sportiv, artistic şi pedagogic)"/>
    <s v="a) mediul urban"/>
    <s v="Logică, argumentare și comunicare"/>
    <n v="10"/>
    <s v="e) M-am pregătit constant pe tot parcursul liceului"/>
    <n v="4"/>
    <n v="1"/>
    <n v="1"/>
    <s v="b) Da, la mai multe materii"/>
    <n v="10"/>
    <s v="g) Nu am mai urmat alte studii"/>
    <s v="b) Arte şi ştiinţe umaniste, j) Sănătate şi asistenţă socială"/>
    <n v="5"/>
    <s v="e) o etapa în care a influențat semnificativ dezvoltarea mea personală (în sens pozitiv)"/>
    <s v="9,51-10"/>
    <n v="3"/>
    <s v="Greu"/>
  </r>
  <r>
    <n v="382"/>
    <n v="2024"/>
    <x v="2"/>
    <x v="37"/>
    <s v="Regiunea Nord-Vest"/>
    <s v="b) Masculin"/>
    <s v="a) filiera teoretică (profilurile umanist şi real)"/>
    <s v="a) mediul urban"/>
    <s v="Biologie"/>
    <n v="6"/>
    <s v="c) 6- 12 luni"/>
    <n v="8"/>
    <n v="8"/>
    <n v="6"/>
    <s v="a) Da, la una dintre materii"/>
    <n v="9"/>
    <s v="a) studii superioare, în același an în care am absolvit BAC-ul"/>
    <s v="f) Ştiinţele naturii, matematică şi statistică"/>
    <n v="8"/>
    <s v="a) un pas/o etapa normal(ă) în viață"/>
    <s v="9,01-9,50"/>
    <n v="9"/>
    <s v="Normal"/>
  </r>
  <r>
    <n v="383"/>
    <n v="2024"/>
    <x v="2"/>
    <x v="19"/>
    <s v="Regiunea Centru"/>
    <s v="a) Feminin"/>
    <s v="b) filiera tehnologică (profilurile tehnic, servicii, economic, resurse naturale şi protecţia mediului)"/>
    <s v="a) mediul urban"/>
    <s v="Geografie"/>
    <n v="5"/>
    <s v="c) 6- 12 luni"/>
    <n v="10"/>
    <n v="10"/>
    <n v="7"/>
    <s v="b) Da, la mai multe materii"/>
    <n v="10"/>
    <s v="a) studii superioare, în același an în care am absolvit BAC-ul"/>
    <s v="h) Inginerie, producţie şi construcţii"/>
    <n v="6"/>
    <s v="b) un eveniment deosebit, o reușită, o sărbătoare"/>
    <s v="9,01-9,50"/>
    <n v="10"/>
    <s v="Stres"/>
  </r>
  <r>
    <n v="384"/>
    <n v="2024"/>
    <x v="2"/>
    <x v="14"/>
    <s v="Regiunea Nord-Est"/>
    <s v="a) Feminin"/>
    <s v="c) filiera vocaţională (profilurile militar, teologic, sportiv, artistic şi pedagogic)"/>
    <s v="a) mediul urban"/>
    <s v="Geografie"/>
    <n v="7"/>
    <s v="a) sub 3 luni"/>
    <n v="10"/>
    <n v="10"/>
    <n v="3"/>
    <s v="d) Nu, m-am pregătit singur(ă)"/>
    <n v="7"/>
    <s v="a) studii superioare, în același an în care am absolvit BAC-ul"/>
    <s v="geografie"/>
    <n v="7"/>
    <s v="c) o etapă în care a influențat semnificativ viitoarea mea cariera educațională"/>
    <s v="8,51-9,00"/>
    <n v="8"/>
    <s v="stresantă "/>
  </r>
  <r>
    <n v="385"/>
    <n v="2024"/>
    <x v="2"/>
    <x v="6"/>
    <s v="Regiunea București-Ilfov"/>
    <s v="b) Masculin"/>
    <s v="b) filiera tehnologică (profilurile tehnic, servicii, economic, resurse naturale şi protecţia mediului)"/>
    <s v="a) mediul urban"/>
    <s v="Economie"/>
    <n v="10"/>
    <s v="e) M-am pregătit constant pe tot parcursul liceului"/>
    <n v="6"/>
    <n v="9"/>
    <n v="7"/>
    <s v="d) Nu, m-am pregătit singur(ă)"/>
    <n v="10"/>
    <s v="a) studii superioare, în același an în care am absolvit BAC-ul, f) studii postliceale / învățământ profesional terțiar"/>
    <s v="d) Științe Economice"/>
    <n v="9"/>
    <s v="c) o etapă în care a influențat semnificativ viitoarea mea cariera educațională, d) o etapa in care a influențat semnificativ viitoarea mea cariera educațională și profesională;"/>
    <s v="7,01-7,50"/>
    <n v="8"/>
    <s v="Obositoare"/>
  </r>
  <r>
    <n v="386"/>
    <n v="2024"/>
    <x v="2"/>
    <x v="15"/>
    <s v="Regiunea Centru"/>
    <s v="a) Feminin"/>
    <s v="a) filiera teoretică (profilurile umanist şi real)"/>
    <s v="a) mediul urban"/>
    <s v="Biologie"/>
    <n v="9"/>
    <s v="e) M-am pregătit constant pe tot parcursul liceului"/>
    <n v="8"/>
    <n v="9"/>
    <n v="10"/>
    <s v="c) Da, la toate materiile"/>
    <n v="10"/>
    <s v="a) studii superioare, în același an în care am absolvit BAC-ul"/>
    <s v="e) Administraţie şi drept"/>
    <n v="10"/>
    <s v="d) o etapa in care a influențat semnificativ viitoarea mea cariera educațională și profesională;"/>
    <s v="8,51-9,00"/>
    <n v="8"/>
    <s v="Obositoare"/>
  </r>
  <r>
    <n v="387"/>
    <n v="2024"/>
    <x v="2"/>
    <x v="21"/>
    <s v="Regiunea Sud-Muntenia"/>
    <s v="a) Feminin"/>
    <s v="a) filiera teoretică (profilurile umanist şi real)"/>
    <s v="a) mediul urban"/>
    <s v="Biologie"/>
    <n v="7"/>
    <s v="a) sub 3 luni"/>
    <n v="3"/>
    <n v="10"/>
    <n v="3"/>
    <s v="a) Da, la una dintre materii"/>
    <n v="10"/>
    <s v="g) Nu am mai urmat alte studii"/>
    <s v="h) Inginerie, producţie şi construcţii, "/>
    <n v="9"/>
    <s v="e) o etapa în care a influențat semnificativ dezvoltarea mea personală (în sens pozitiv)"/>
    <s v="6,51-7,00"/>
    <n v="5"/>
    <s v="Stresant"/>
  </r>
  <r>
    <n v="388"/>
    <n v="2024"/>
    <x v="2"/>
    <x v="21"/>
    <s v="Regiunea Sud-Muntenia"/>
    <s v="a) Feminin"/>
    <s v="a) filiera teoretică (profilurile umanist şi real)"/>
    <s v="a) mediul urban"/>
    <s v="Biologie"/>
    <n v="9"/>
    <s v="e) M-am pregătit constant pe tot parcursul liceului"/>
    <n v="4"/>
    <n v="5"/>
    <n v="3"/>
    <s v="c) Da, la toate materiile"/>
    <n v="10"/>
    <s v="a) studii superioare, în același an în care am absolvit BAC-ul"/>
    <s v="e) Administraţie şi drept"/>
    <n v="10"/>
    <s v="c) o etapă în care a influențat semnificativ viitoarea mea cariera educațională"/>
    <s v="8,01-8,50"/>
    <n v="9"/>
    <s v="grea"/>
  </r>
  <r>
    <n v="389"/>
    <n v="2024"/>
    <x v="2"/>
    <x v="15"/>
    <s v="Regiunea Centru"/>
    <s v="b) Masculin"/>
    <s v="a) filiera teoretică (profilurile umanist şi real)"/>
    <s v="a) mediul urban"/>
    <s v="Biologie"/>
    <n v="3"/>
    <s v="c) 6- 12 luni"/>
    <n v="10"/>
    <n v="10"/>
    <n v="6"/>
    <s v="a) Da, la una dintre materii"/>
    <n v="8"/>
    <s v="a) studii superioare, în același an în care am absolvit BAC-ul"/>
    <s v="e) Administraţie şi drept"/>
    <n v="8"/>
    <s v="b) un eveniment deosebit, o reușită, o sărbătoare, d) o etapa in care a influențat semnificativ viitoarea mea cariera educațională și profesională;, e) o etapa în care a influențat semnificativ dezvoltarea mea personală (în sens pozitiv)"/>
    <s v="9,51-10"/>
    <n v="10"/>
    <s v="Stresanta"/>
  </r>
  <r>
    <n v="390"/>
    <n v="2024"/>
    <x v="2"/>
    <x v="30"/>
    <s v="Regiunea Sud-Est"/>
    <s v="a) Feminin"/>
    <s v="c) filiera vocaţională (profilurile militar, teologic, sportiv, artistic şi pedagogic)"/>
    <s v="a) mediul urban"/>
    <s v="Logică, argumentare și comunicare"/>
    <n v="5"/>
    <s v="c) 6- 12 luni"/>
    <n v="4"/>
    <n v="10"/>
    <n v="5"/>
    <s v="b) Da, la mai multe materii"/>
    <n v="9"/>
    <s v="a) studii superioare, în același an în care am absolvit BAC-ul"/>
    <s v="a) Educație"/>
    <n v="7"/>
    <s v="a) un pas/o etapa normal(ă) în viață, b) un eveniment deosebit, o reușită, o sărbătoare"/>
    <s v="8,01-8,50"/>
    <n v="9"/>
    <s v="Stres"/>
  </r>
  <r>
    <n v="391"/>
    <n v="2024"/>
    <x v="2"/>
    <x v="41"/>
    <s v="Regiunea Sud-Muntenia"/>
    <s v="a) Feminin"/>
    <s v="b) filiera tehnologică (profilurile tehnic, servicii, economic, resurse naturale şi protecţia mediului)"/>
    <s v="b) mediul rural"/>
    <s v="Biologie"/>
    <n v="8"/>
    <s v="a) sub 3 luni"/>
    <n v="4"/>
    <n v="6"/>
    <n v="5"/>
    <s v="a) Da, la una dintre materii"/>
    <n v="10"/>
    <s v="a) studii superioare, în același an în care am absolvit BAC-ul"/>
    <s v="Asistenta medicala "/>
    <n v="8"/>
    <s v="c) o etapă în care a influențat semnificativ viitoarea mea cariera educațională, d) o etapa in care a influențat semnificativ viitoarea mea cariera educațională și profesională;"/>
    <s v="6,51-7,00"/>
    <n v="6"/>
    <s v="Stresanta "/>
  </r>
  <r>
    <n v="392"/>
    <n v="2024"/>
    <x v="2"/>
    <x v="10"/>
    <s v="Regiunea Sud-Muntenia"/>
    <s v="a) Feminin"/>
    <s v="b) filiera tehnologică (profilurile tehnic, servicii, economic, resurse naturale şi protecţia mediului)"/>
    <s v="b) mediul rural"/>
    <s v="Logică, argumentare și comunicare"/>
    <n v="4"/>
    <s v="b) 3- 6 luni"/>
    <n v="4"/>
    <n v="10"/>
    <n v="6"/>
    <s v="a) Da, la una dintre materii"/>
    <n v="10"/>
    <s v="g) Nu am mai urmat alte studii"/>
    <s v="a) Educație, "/>
    <n v="6"/>
    <s v="a) un pas/o etapa normal(ă) în viață, b) un eveniment deosebit, o reușită, o sărbătoare, e) o etapa în care a influențat semnificativ dezvoltarea mea personală (în sens pozitiv)"/>
    <s v="6,51-7,00"/>
    <n v="6"/>
    <s v="Stresanta "/>
  </r>
  <r>
    <n v="393"/>
    <n v="2024"/>
    <x v="2"/>
    <x v="10"/>
    <s v="Regiunea Sud-Muntenia"/>
    <s v="a) Feminin"/>
    <s v="b) filiera tehnologică (profilurile tehnic, servicii, economic, resurse naturale şi protecţia mediului)"/>
    <s v="a) mediul urban"/>
    <s v="Logică, argumentare și comunicare"/>
    <n v="4"/>
    <s v="b) 3- 6 luni"/>
    <n v="5"/>
    <n v="10"/>
    <n v="10"/>
    <s v="b) Da, la mai multe materii"/>
    <n v="5"/>
    <s v="b) studii superioare, la un an de la absolvire"/>
    <s v="a) Educație"/>
    <n v="9"/>
    <s v="d) o etapa in care a influențat semnificativ viitoarea mea cariera educațională și profesională;"/>
    <s v="7,01-7,50"/>
    <n v="7"/>
    <s v="Stresantă "/>
  </r>
  <r>
    <n v="394"/>
    <n v="2024"/>
    <x v="2"/>
    <x v="10"/>
    <s v="Regiunea Sud-Muntenia"/>
    <s v="b) Masculin"/>
    <s v="b) filiera tehnologică (profilurile tehnic, servicii, economic, resurse naturale şi protecţia mediului)"/>
    <s v="a) mediul urban"/>
    <s v="Logică, argumentare și comunicare"/>
    <n v="5"/>
    <s v="a) sub 3 luni"/>
    <n v="8"/>
    <n v="1"/>
    <n v="7"/>
    <s v="d) Nu, m-am pregătit singur(ă)"/>
    <n v="9"/>
    <s v="a) studii superioare, în același an în care am absolvit BAC-ul"/>
    <s v="j) Sănătate şi asistenţă socială"/>
    <n v="7"/>
    <s v="a) un pas/o etapa normal(ă) în viață"/>
    <s v="7,01-7,50"/>
    <n v="10"/>
    <s v="nu inteleg intrebarea"/>
  </r>
  <r>
    <n v="395"/>
    <n v="2024"/>
    <x v="2"/>
    <x v="6"/>
    <s v="Regiunea București-Ilfov"/>
    <s v="b) Masculin"/>
    <s v="a) filiera teoretică (profilurile umanist şi real)"/>
    <s v="a) mediul urban"/>
    <s v="Fizică"/>
    <n v="5"/>
    <s v="b) 3- 6 luni"/>
    <n v="7"/>
    <n v="10"/>
    <n v="8"/>
    <s v="c) Da, la toate materiile"/>
    <n v="6"/>
    <s v="a) studii superioare, în același an în care am absolvit BAC-ul"/>
    <s v="d) Științe Economice, g) Tehnologia informaţiei şi a comunicaţiilor"/>
    <n v="5"/>
    <s v="a) un pas/o etapa normal(ă) în viață"/>
    <s v="9,01-9,50"/>
    <n v="9"/>
    <s v="Bacalaureatul nu a fost un motiv de stres pentru mine. Cu pregătire serioasă din timp, este imposibil sa nu te descurci foarte bine la acest examen."/>
  </r>
  <r>
    <n v="396"/>
    <n v="2024"/>
    <x v="2"/>
    <x v="23"/>
    <s v="Regiunea București-Ilfov"/>
    <s v="a) Feminin"/>
    <s v="a) filiera teoretică (profilurile umanist şi real)"/>
    <s v="a) mediul urban"/>
    <s v="Informatică"/>
    <n v="5"/>
    <s v="c) 6- 12 luni"/>
    <n v="4"/>
    <n v="9"/>
    <n v="5"/>
    <s v="b) Da, la mai multe materii"/>
    <n v="9"/>
    <s v="a) studii superioare, în același an în care am absolvit BAC-ul"/>
    <s v="d) Științe Economice"/>
    <n v="8"/>
    <s v="a) un pas/o etapa normal(ă) în viață"/>
    <s v="9,51-10"/>
    <n v="10"/>
    <s v="A fost o exerperinta pe de o parte stresanta,dar care m-a invatat sa ma organizez mai bine si sa imi stapanesc emotiile in situatii tresante"/>
  </r>
  <r>
    <n v="397"/>
    <n v="2025"/>
    <x v="2"/>
    <x v="6"/>
    <s v="Regiunea București-Ilfov"/>
    <s v="a) Feminin"/>
    <s v="a) filiera teoretică (profilurile umanist şi real)"/>
    <s v="a) mediul urban"/>
    <s v="Chimie"/>
    <n v="6"/>
    <s v="e) M-am pregătit constant pe tot parcursul liceului"/>
    <n v="10"/>
    <n v="8"/>
    <n v="10"/>
    <s v="d) Nu, m-am pregătit singur(ă)"/>
    <n v="4"/>
    <s v="a) studii superioare, în același an în care am absolvit BAC-ul"/>
    <s v="g) Tehnologia informaţiei şi a comunicaţiilor"/>
    <n v="10"/>
    <s v="a) un pas/o etapa normal(ă) în viață"/>
    <s v="9,51-10"/>
    <n v="9"/>
    <s v="O experienta normala, nu foarte dificila."/>
  </r>
  <r>
    <n v="398"/>
    <n v="2025"/>
    <x v="2"/>
    <x v="10"/>
    <s v="Regiunea Sud-Muntenia"/>
    <s v="a) Feminin"/>
    <s v="a) filiera teoretică (profilurile umanist şi real)"/>
    <s v="a) mediul urban"/>
    <s v="Informatică"/>
    <n v="5"/>
    <s v="e) M-am pregătit constant pe tot parcursul liceului"/>
    <n v="10"/>
    <n v="10"/>
    <n v="9"/>
    <s v="b) Da, la mai multe materii"/>
    <n v="7"/>
    <s v="a) studii superioare, în același an în care am absolvit BAC-ul"/>
    <s v="d) Științe Economice, g) Tehnologia informaţiei şi a comunicaţiilor"/>
    <n v="10"/>
    <s v="a) un pas/o etapa normal(ă) în viață, b) un eveniment deosebit, o reușită, o sărbătoare, d) o etapa in care a influențat semnificativ viitoarea mea cariera educațională și profesională;, e) o etapa în care a influențat semnificativ dezvoltarea mea personală (în sens pozitiv)"/>
    <s v="9,01-9,50"/>
    <n v="10"/>
    <s v="Experienta pregatirii si sustinerii examenului de Bacalaureat a fost una intensa, dar formativa, care m-a ajutat sa imi dezvolt disciplina, perseverenta si increderea in propriile forte"/>
  </r>
  <r>
    <n v="399"/>
    <n v="2025"/>
    <x v="2"/>
    <x v="25"/>
    <s v="Regiunea Sud-Muntenia"/>
    <s v="a) Feminin"/>
    <s v="a) filiera teoretică (profilurile umanist şi real)"/>
    <s v="a) mediul urban"/>
    <s v="Biologie"/>
    <n v="5"/>
    <s v="e) M-am pregătit constant pe tot parcursul liceului"/>
    <n v="10"/>
    <n v="10"/>
    <n v="6"/>
    <s v="b) Da, la mai multe materii"/>
    <n v="8"/>
    <s v="a) studii superioare, în același an în care am absolvit BAC-ul"/>
    <s v="d) Științe Economice, f) Ştiinţele naturii, matematică şi statistică, g) Tehnologia informaţiei şi a comunicaţiilor"/>
    <n v="5"/>
    <s v="a) un pas/o etapa normal(ă) în viață"/>
    <s v="9,01-9,50"/>
    <n v="8"/>
    <s v="Consider ca proba la limba si literatura romana este complet inutila, invechita, lipsita de utilitate in majoritatea domeniilor pe care absolventii le vor profesa. De asemenea, modul de corectare este aberant, nota pe care am obtinut-o nu reflecta ceea ce am scris si timpul pe care l-am acordat acestei discipline. Profesorii care corecteaza sunt subiectivi, multi foarte nepregatiti si chiar ignoranti. Si la celelalte probe pot aparea discrepante, dar nu la fel de mari ca la romana. Astfel ca a fost o experienta dezamsgitoare, care reflecta cat de scazut este nivelul educational din romania. Multi elevi se bazeaza pe examenul maturitatii pentru a intra la facultate, iar corectarea acestuia trebuie tratata cu seriozitate."/>
  </r>
  <r>
    <n v="400"/>
    <n v="2025"/>
    <x v="2"/>
    <x v="6"/>
    <s v="Regiunea București-Ilfov"/>
    <s v="a) Feminin"/>
    <s v="a) filiera teoretică (profilurile umanist şi real)"/>
    <s v="a) mediul urban"/>
    <s v="Informatică"/>
    <n v="7"/>
    <s v="e) M-am pregătit constant pe tot parcursul liceului"/>
    <n v="9"/>
    <n v="8"/>
    <n v="9"/>
    <s v="d) Nu, m-am pregătit singur(ă)"/>
    <n v="8"/>
    <s v="a) studii superioare, în același an în care am absolvit BAC-ul"/>
    <s v="a) Educație, d) Științe Economice, f) Ştiinţele naturii, matematică şi statistică, g) Tehnologia informaţiei şi a comunicaţiilor"/>
    <n v="6"/>
    <s v="a) un pas/o etapa normal(ă) în viață"/>
    <s v="9,51-10"/>
    <n v="9"/>
    <s v="Consider că, pregătirea pentru susținerea examenului nu s-a resimțit sufocantă întrucât aceasta s-a desfășurat pe parcursul întregului liceu, ci nu doar în clasa a XII-a, așa cum mulți elevi o fac."/>
  </r>
  <r>
    <n v="401"/>
    <n v="2025"/>
    <x v="2"/>
    <x v="6"/>
    <s v="Regiunea București-Ilfov"/>
    <s v="a) Feminin"/>
    <s v="a) filiera teoretică (profilurile umanist şi real)"/>
    <s v="a) mediul urban"/>
    <s v="Biologie"/>
    <n v="2"/>
    <s v="b) 3- 6 luni"/>
    <n v="4"/>
    <n v="10"/>
    <n v="3"/>
    <s v="c) Da, la toate materiile"/>
    <n v="6"/>
    <s v="a) studii superioare, în același an în care am absolvit BAC-ul"/>
    <s v="f) Ştiinţele naturii, matematică şi statistică, g) Tehnologia informaţiei şi a comunicaţiilor, j) Sănătate şi asistenţă socială"/>
    <n v="10"/>
    <s v="a) un pas/o etapa normal(ă) în viață"/>
    <s v="9,51-10"/>
    <n v="9"/>
    <s v="Usor, rapid"/>
  </r>
  <r>
    <n v="402"/>
    <n v="2025"/>
    <x v="2"/>
    <x v="4"/>
    <s v="Regiunea Sud-Vest Oltenia"/>
    <s v="a) Feminin"/>
    <s v="a) filiera teoretică (profilurile umanist şi real)"/>
    <s v="a) mediul urban"/>
    <s v="Informatică"/>
    <n v="7"/>
    <s v="d) 12- 24 luni"/>
    <n v="8"/>
    <n v="9"/>
    <n v="6"/>
    <s v="b) Da, la mai multe materii"/>
    <n v="9"/>
    <s v="a) studii superioare, în același an în care am absolvit BAC-ul"/>
    <s v="a) Educație, d) Științe Economice, g) Tehnologia informaţiei şi a comunicaţiilor"/>
    <n v="8"/>
    <s v="a) un pas/o etapa normal(ă) în viață"/>
    <s v="9,01-9,50"/>
    <n v="8"/>
    <s v="trebuia sa se fi programat mai demult, a fost prea mult timp alocat clasei a 12 a , cand deja la liceu oricum nu mai facem nimic. o experienta stresanta oricum"/>
  </r>
  <r>
    <n v="403"/>
    <n v="2025"/>
    <x v="2"/>
    <x v="0"/>
    <s v="Regiunea Nord-Est"/>
    <s v="b) Masculin"/>
    <s v="a) filiera teoretică (profilurile umanist şi real)"/>
    <s v="a) mediul urban"/>
    <s v="Informatică"/>
    <n v="4"/>
    <s v="e) M-am pregătit constant pe tot parcursul liceului"/>
    <n v="4"/>
    <n v="10"/>
    <n v="5"/>
    <s v="c) Da, la toate materiile"/>
    <n v="6"/>
    <s v="a) studii superioare, în același an în care am absolvit BAC-ul"/>
    <s v="d) Științe Economice"/>
    <n v="9"/>
    <s v="a) un pas/o etapa normal(ă) în viață"/>
    <s v="8,51-9,00"/>
    <n v="8"/>
    <s v="O chestie plăcută și un pas ce trebuia făcut "/>
  </r>
  <r>
    <n v="404"/>
    <n v="2025"/>
    <x v="2"/>
    <x v="6"/>
    <s v="Regiunea București-Ilfov"/>
    <s v="b) Masculin"/>
    <s v="a) filiera teoretică (profilurile umanist şi real)"/>
    <s v="a) mediul urban"/>
    <s v="Fizică"/>
    <n v="6"/>
    <s v="c) 6- 12 luni"/>
    <n v="10"/>
    <n v="5"/>
    <n v="4"/>
    <s v="d) Nu, m-am pregătit singur(ă)"/>
    <n v="9"/>
    <s v="a) studii superioare, în același an în care am absolvit BAC-ul"/>
    <s v="d) Științe Economice, g) Tehnologia informaţiei şi a comunicaţiilor"/>
    <n v="5"/>
    <s v="a) un pas/o etapa normal(ă) în viață"/>
    <s v="8,51-9,00"/>
    <n v="5"/>
    <s v="Nu foarte stresanta cu exceptia ultimelor saptamani"/>
  </r>
  <r>
    <n v="405"/>
    <n v="2025"/>
    <x v="2"/>
    <x v="6"/>
    <s v="Regiunea București-Ilfov"/>
    <s v="a) Feminin"/>
    <s v="a) filiera teoretică (profilurile umanist şi real)"/>
    <s v="a) mediul urban"/>
    <s v="Informatică"/>
    <n v="5"/>
    <s v="e) M-am pregătit constant pe tot parcursul liceului"/>
    <n v="10"/>
    <n v="10"/>
    <n v="2"/>
    <s v="a) Da, la una dintre materii"/>
    <n v="7"/>
    <s v="a) studii superioare, în același an în care am absolvit BAC-ul"/>
    <s v="d) Științe Economice"/>
    <n v="10"/>
    <s v="a) un pas/o etapa normal(ă) în viață"/>
    <s v="8,51-9,00"/>
    <n v="4"/>
    <s v="Obositoare. Exerciții repetitive care nu reflectă neapărat cunoștințele elevului, ci învățarea mecanică."/>
  </r>
  <r>
    <n v="406"/>
    <n v="2025"/>
    <x v="2"/>
    <x v="26"/>
    <s v="Regiunea Sud-Est"/>
    <s v="a) Feminin"/>
    <s v="a) filiera teoretică (profilurile umanist şi real)"/>
    <s v="a) mediul urban"/>
    <s v="Biologie"/>
    <n v="6"/>
    <s v="e) M-am pregătit constant pe tot parcursul liceului"/>
    <n v="10"/>
    <n v="8"/>
    <n v="9"/>
    <s v="a) Da, la una dintre materii"/>
    <n v="8"/>
    <s v="a) studii superioare, în același an în care am absolvit BAC-ul"/>
    <s v="d) Științe Economice, g) Tehnologia informaţiei şi a comunicaţiilor"/>
    <n v="7"/>
    <s v="a) un pas/o etapa normal(ă) în viață, c) o etapă în care a influențat semnificativ viitoarea mea cariera educațională"/>
    <s v="9,51-10"/>
    <n v="10"/>
    <s v="In ansamblu, m-am pregatit foarte mult pentru un examen pe care eu, in momentul de fata, il consider ca fiind usor, dar din procesul de pregatire am invatat practic &quot;cum sa invat&quot; intr-un mod eficient, iar acest lucru ma va ajuta pe parcursul vietii."/>
  </r>
  <r>
    <n v="407"/>
    <n v="2025"/>
    <x v="2"/>
    <x v="6"/>
    <s v="Regiunea București-Ilfov"/>
    <s v="a) Feminin"/>
    <s v="a) filiera teoretică (profilurile umanist şi real)"/>
    <s v="a) mediul urban"/>
    <s v="Fizică"/>
    <n v="8"/>
    <s v="b) 3- 6 luni"/>
    <n v="7"/>
    <n v="9"/>
    <n v="6"/>
    <s v="a) Da, la una dintre materii"/>
    <n v="9"/>
    <s v="a) studii superioare, în același an în care am absolvit BAC-ul"/>
    <s v="d) Științe Economice"/>
    <n v="8"/>
    <s v="a) un pas/o etapa normal(ă) în viață, e) o etapa în care a influențat semnificativ dezvoltarea mea personală (în sens pozitiv)"/>
    <s v="8,01-8,50"/>
    <n v="7"/>
    <s v="Am avut o experiență neplăcută la materia , Limba si Literatura Romana&quot; deoarce se corecteaza din cap,nu se verifică baremul și fiecare profesor dă punctaj după parerea personala.Eu am facut contestație si mi s a scazut un punct"/>
  </r>
  <r>
    <n v="408"/>
    <n v="2025"/>
    <x v="2"/>
    <x v="6"/>
    <s v="Regiunea București-Ilfov"/>
    <s v="a) Feminin"/>
    <s v="a) filiera teoretică (profilurile umanist şi real)"/>
    <s v="a) mediul urban"/>
    <s v="Informatică"/>
    <n v="3"/>
    <s v="c) 6- 12 luni"/>
    <n v="2"/>
    <n v="9"/>
    <n v="5"/>
    <s v="c) Da, la toate materiile"/>
    <n v="7"/>
    <s v="a) studii superioare, în același an în care am absolvit BAC-ul"/>
    <s v="d) Științe Economice, g) Tehnologia informaţiei şi a comunicaţiilor"/>
    <n v="6"/>
    <s v="a) un pas/o etapa normal(ă) în viață"/>
    <s v="8,51-9,00"/>
    <n v="8"/>
    <s v="Sunt de părere că experiența mea a fost una bună, dar consider că m-am stresat mult mai mult decât ar fi fost necesar, având în vedere faptul că, deși cu toții îl vizualizăm ca un examen greu la început, subiectele au ajuns să fie destul de ușoare, în special cele din 2025."/>
  </r>
  <r>
    <n v="409"/>
    <n v="2025"/>
    <x v="2"/>
    <x v="9"/>
    <s v="Regiunea Sud-Est"/>
    <s v="a) Feminin"/>
    <s v="a) filiera teoretică (profilurile umanist şi real)"/>
    <s v="a) mediul urban"/>
    <s v="Biologie"/>
    <n v="6"/>
    <s v="a) sub 3 luni"/>
    <n v="4"/>
    <n v="9"/>
    <n v="6"/>
    <s v="a) Da, la una dintre materii"/>
    <n v="8"/>
    <s v="a) studii superioare, în același an în care am absolvit BAC-ul"/>
    <s v="d) Științe Economice"/>
    <n v="8"/>
    <s v="a) un pas/o etapa normal(ă) în viață"/>
    <s v="9,01-9,50"/>
    <n v="8"/>
    <s v="A fost ok, un pic stresant, dar e firesc întrucât îmi doream o notă mare."/>
  </r>
  <r>
    <n v="410"/>
    <n v="2025"/>
    <x v="2"/>
    <x v="10"/>
    <s v="Regiunea Sud-Muntenia"/>
    <s v="a) Feminin"/>
    <s v="a) filiera teoretică (profilurile umanist şi real)"/>
    <s v="a) mediul urban"/>
    <s v="Biologie"/>
    <n v="8"/>
    <s v="b) 3- 6 luni"/>
    <n v="9"/>
    <n v="10"/>
    <n v="8"/>
    <s v="b) Da, la mai multe materii"/>
    <n v="8"/>
    <s v="a) studii superioare, în același an în care am absolvit BAC-ul"/>
    <s v="d) Științe Economice"/>
    <n v="9"/>
    <s v="d) o etapa in care a influențat semnificativ viitoarea mea cariera educațională și profesională;"/>
    <s v="8,51-9,00"/>
    <n v="7"/>
    <s v="Meditatiile si studiul individual au avut o contributie mare in procesul de pregatire."/>
  </r>
  <r>
    <n v="411"/>
    <n v="2025"/>
    <x v="2"/>
    <x v="8"/>
    <s v="Regiunea Nord-Est"/>
    <s v="a) Feminin"/>
    <s v="a) filiera teoretică (profilurile umanist şi real)"/>
    <s v="a) mediul urban"/>
    <s v="Informatică"/>
    <n v="5"/>
    <s v="e) M-am pregătit constant pe tot parcursul liceului"/>
    <n v="6"/>
    <n v="10"/>
    <n v="4"/>
    <s v="b) Da, la mai multe materii"/>
    <n v="8"/>
    <s v="a) studii superioare, în același an în care am absolvit BAC-ul"/>
    <s v="d) Științe Economice, f) Ştiinţele naturii, matematică şi statistică, g) Tehnologia informaţiei şi a comunicaţiilor"/>
    <n v="5"/>
    <s v="a) un pas/o etapa normal(ă) în viață"/>
    <s v="9,01-9,50"/>
    <n v="9"/>
    <s v="-"/>
  </r>
  <r>
    <n v="412"/>
    <n v="2025"/>
    <x v="2"/>
    <x v="25"/>
    <s v="Regiunea Sud-Muntenia"/>
    <s v="b) Masculin"/>
    <s v="a) filiera teoretică (profilurile umanist şi real)"/>
    <s v="a) mediul urban"/>
    <s v="Biologie"/>
    <n v="4"/>
    <s v="b) 3- 6 luni"/>
    <n v="7"/>
    <n v="10"/>
    <n v="6"/>
    <s v="b) Da, la mai multe materii"/>
    <n v="7"/>
    <s v="a) studii superioare, în același an în care am absolvit BAC-ul"/>
    <s v="d) Științe Economice"/>
    <n v="10"/>
    <s v="a) un pas/o etapa normal(ă) în viață, c) o etapă în care a influențat semnificativ viitoarea mea cariera educațională, d) o etapa in care a influențat semnificativ viitoarea mea cariera educațională și profesională;, e) o etapa în care a influențat semnificativ dezvoltarea mea personală (în sens pozitiv)"/>
    <s v="8,01-8,50"/>
    <n v="9"/>
    <s v="Pentru mine, experienta legata de pregatirea si sustinerea examenului de Bacalaureat a implicat si un volum destul de mare legat de studiu individual,cat si meditatii."/>
  </r>
  <r>
    <n v="413"/>
    <n v="2025"/>
    <x v="2"/>
    <x v="15"/>
    <s v="Regiunea Centru"/>
    <s v="b) Masculin"/>
    <s v="a) filiera teoretică (profilurile umanist şi real)"/>
    <s v="a) mediul urban"/>
    <s v="Informatică"/>
    <n v="5"/>
    <s v="c) 6- 12 luni"/>
    <n v="5"/>
    <n v="9"/>
    <n v="4"/>
    <s v="c) Da, la toate materiile"/>
    <n v="9"/>
    <s v="a) studii superioare, în același an în care am absolvit BAC-ul"/>
    <s v="d) Științe Economice"/>
    <n v="7"/>
    <s v="a) un pas/o etapa normal(ă) în viață"/>
    <s v="9,51-10"/>
    <n v="10"/>
    <s v="Grea"/>
  </r>
  <r>
    <n v="414"/>
    <n v="2025"/>
    <x v="2"/>
    <x v="8"/>
    <s v="Regiunea Nord-Est"/>
    <s v="b) Masculin"/>
    <s v="a) filiera teoretică (profilurile umanist şi real)"/>
    <s v="a) mediul urban"/>
    <s v="Biologie"/>
    <n v="6"/>
    <s v="b) 3- 6 luni"/>
    <n v="8"/>
    <n v="10"/>
    <n v="8"/>
    <s v="a) Da, la una dintre materii"/>
    <n v="10"/>
    <s v="a) studii superioare, în același an în care am absolvit BAC-ul"/>
    <s v="d) Științe Economice"/>
    <n v="7"/>
    <s v="a) un pas/o etapa normal(ă) în viață"/>
    <s v="9,51-10"/>
    <n v="10"/>
    <s v="o perioadă stresantă dar frumoasă din viața mea"/>
  </r>
  <r>
    <n v="415"/>
    <n v="2025"/>
    <x v="2"/>
    <x v="18"/>
    <s v="Regiunea Sud-Est"/>
    <s v="b) Masculin"/>
    <s v="a) filiera teoretică (profilurile umanist şi real)"/>
    <s v="a) mediul urban"/>
    <s v="Informatică"/>
    <n v="8"/>
    <s v="c) 6- 12 luni"/>
    <n v="6"/>
    <n v="9"/>
    <n v="9"/>
    <s v="b) Da, la mai multe materii"/>
    <n v="9"/>
    <s v="a) studii superioare, în același an în care am absolvit BAC-ul"/>
    <s v="g) Tehnologia informaţiei şi a comunicaţiilor"/>
    <n v="8"/>
    <s v="a) un pas/o etapa normal(ă) în viață"/>
    <s v="9,51-10"/>
    <n v="10"/>
    <s v="Perioada de pregătire și susținere a examenului de bacalaureat a fost extenuantă și foarte stresantă pentru mine."/>
  </r>
  <r>
    <n v="416"/>
    <n v="2025"/>
    <x v="2"/>
    <x v="6"/>
    <s v="Regiunea București-Ilfov"/>
    <s v="b) Masculin"/>
    <s v="a) filiera teoretică (profilurile umanist şi real)"/>
    <s v="a) mediul urban"/>
    <s v="Informatică"/>
    <n v="4"/>
    <s v="c) 6- 12 luni"/>
    <n v="8"/>
    <n v="6"/>
    <n v="8"/>
    <s v="b) Da, la mai multe materii"/>
    <n v="3"/>
    <s v="a) studii superioare, în același an în care am absolvit BAC-ul"/>
    <s v="d) Științe Economice, f) Ştiinţele naturii, matematică şi statistică, g) Tehnologia informaţiei şi a comunicaţiilor"/>
    <n v="2"/>
    <s v="a) un pas/o etapa normal(ă) în viață"/>
    <s v="8,01-8,50"/>
    <n v="9"/>
    <s v="am avut mult de muncit, dar consider ca m-am pregatit suficient de bine si mi-am facut treaba"/>
  </r>
  <r>
    <n v="417"/>
    <n v="2025"/>
    <x v="2"/>
    <x v="6"/>
    <s v="Regiunea București-Ilfov"/>
    <s v="a) Feminin"/>
    <s v="a) filiera teoretică (profilurile umanist şi real)"/>
    <s v="a) mediul urban"/>
    <s v="Informatică"/>
    <n v="5"/>
    <s v="c) 6- 12 luni"/>
    <n v="4"/>
    <n v="10"/>
    <n v="8"/>
    <s v="b) Da, la mai multe materii"/>
    <n v="9"/>
    <s v="a) studii superioare, în același an în care am absolvit BAC-ul"/>
    <s v="f) Ştiinţele naturii, matematică şi statistică, g) Tehnologia informaţiei şi a comunicaţiilor"/>
    <n v="10"/>
    <s v="d) o etapa in care a influențat semnificativ viitoarea mea cariera educațională și profesională;"/>
    <s v="7,51-8,00"/>
    <n v="6"/>
    <s v="Foarte pregătită"/>
  </r>
  <r>
    <n v="418"/>
    <n v="2025"/>
    <x v="2"/>
    <x v="38"/>
    <s v="Regiunea Sud-Muntenia"/>
    <s v="a) Feminin"/>
    <s v="a) filiera teoretică (profilurile umanist şi real)"/>
    <s v="a) mediul urban"/>
    <s v="Biologie"/>
    <n v="2"/>
    <s v="c) 6- 12 luni"/>
    <n v="8"/>
    <n v="10"/>
    <n v="8"/>
    <s v="b) Da, la mai multe materii"/>
    <n v="10"/>
    <s v="a) studii superioare, în același an în care am absolvit BAC-ul"/>
    <s v="d) Științe Economice, g) Tehnologia informaţiei şi a comunicaţiilor"/>
    <n v="10"/>
    <s v="c) o etapă în care a influențat semnificativ viitoarea mea cariera educațională"/>
    <s v="9,01-9,50"/>
    <n v="9"/>
    <s v="foarte usor"/>
  </r>
  <r>
    <n v="419"/>
    <n v="2025"/>
    <x v="2"/>
    <x v="6"/>
    <s v="Regiunea București-Ilfov"/>
    <s v="a) Feminin"/>
    <s v="a) filiera teoretică (profilurile umanist şi real)"/>
    <s v="a) mediul urban"/>
    <s v="Informatică"/>
    <n v="6"/>
    <s v="b) 3- 6 luni"/>
    <n v="8"/>
    <n v="10"/>
    <n v="10"/>
    <s v="b) Da, la mai multe materii"/>
    <n v="8"/>
    <s v="a) studii superioare, în același an în care am absolvit BAC-ul"/>
    <s v="d) Științe Economice, g) Tehnologia informaţiei şi a comunicaţiilor"/>
    <n v="9"/>
    <s v="d) o etapa in care a influențat semnificativ viitoarea mea cariera educațională și profesională;, e) o etapa în care a influențat semnificativ dezvoltarea mea personală (în sens pozitiv)"/>
    <s v="8,51-9,00"/>
    <n v="9"/>
    <s v="M-am pregătit atât cat am simțit ca am nevoie fără să lucrez enorm de mult până la epuizare,susținerea examenului a fost stresantă dar am fost foarte fericită dupa"/>
  </r>
  <r>
    <n v="420"/>
    <n v="2025"/>
    <x v="2"/>
    <x v="6"/>
    <s v="Regiunea București-Ilfov"/>
    <s v="b) Masculin"/>
    <s v="a) filiera teoretică (profilurile umanist şi real)"/>
    <s v="a) mediul urban"/>
    <s v="Informatică"/>
    <n v="4"/>
    <s v="c) 6- 12 luni"/>
    <n v="8"/>
    <n v="6"/>
    <n v="9"/>
    <s v="a) Da, la una dintre materii"/>
    <n v="9"/>
    <s v="a) studii superioare, în același an în care am absolvit BAC-ul"/>
    <s v="d) Științe Economice, f) Ştiinţele naturii, matematică şi statistică, g) Tehnologia informaţiei şi a comunicaţiilor"/>
    <n v="7"/>
    <s v="a) un pas/o etapa normal(ă) în viață, e) o etapa în care a influențat semnificativ dezvoltarea mea personală (în sens pozitiv)"/>
    <s v="9,51-10"/>
    <n v="9"/>
    <s v="Dezvoltarea capacitatii de a retine multe aspecte si de a realiza in interiorul mintii conexiuni pentru a rezolva o problema chiar inainte de a incepe rezolvarea propriu-zisa pe foaie."/>
  </r>
  <r>
    <n v="421"/>
    <n v="2025"/>
    <x v="2"/>
    <x v="23"/>
    <s v="Regiunea București-Ilfov"/>
    <s v="b) Masculin"/>
    <s v="a) filiera teoretică (profilurile umanist şi real)"/>
    <s v="a) mediul urban"/>
    <s v="Informatică"/>
    <n v="7"/>
    <s v="d) 12- 24 luni"/>
    <n v="6"/>
    <n v="9"/>
    <n v="6"/>
    <s v="b) Da, la mai multe materii"/>
    <n v="6"/>
    <s v="a) studii superioare, în același an în care am absolvit BAC-ul"/>
    <s v="d) Științe Economice, f) Ştiinţele naturii, matematică şi statistică"/>
    <n v="7"/>
    <s v="a) un pas/o etapa normal(ă) în viață"/>
    <s v="9,01-9,50"/>
    <n v="7"/>
    <s v="Obisnuita ,normala "/>
  </r>
  <r>
    <n v="422"/>
    <n v="2025"/>
    <x v="2"/>
    <x v="6"/>
    <s v="Regiunea București-Ilfov"/>
    <s v="a) Feminin"/>
    <s v="a) filiera teoretică (profilurile umanist şi real)"/>
    <s v="a) mediul urban"/>
    <s v="Informatică"/>
    <n v="7"/>
    <s v="e) M-am pregătit constant pe tot parcursul liceului"/>
    <n v="6"/>
    <n v="10"/>
    <n v="9"/>
    <s v="c) Da, la toate materiile"/>
    <n v="10"/>
    <s v="a) studii superioare, în același an în care am absolvit BAC-ul"/>
    <s v="d) Științe Economice"/>
    <n v="8"/>
    <s v="a) un pas/o etapa normal(ă) în viață"/>
    <s v="9,01-9,50"/>
    <n v="6"/>
    <s v="Pregatirea pentru Bacalaureat a fost una intensa, plina de emotii. Am avut intre 4 si 5 meditatii pe saptamana. Ceea ce simt ca mi-a ingreunat experienta este faptul ca, concomitent, am invatat si pentru examenul de admitere. "/>
  </r>
  <r>
    <n v="423"/>
    <n v="2025"/>
    <x v="2"/>
    <x v="30"/>
    <s v="Regiunea Sud-Est"/>
    <s v="a) Feminin"/>
    <s v="a) filiera teoretică (profilurile umanist şi real)"/>
    <s v="a) mediul urban"/>
    <s v="Informatică"/>
    <n v="8"/>
    <s v="c) 6- 12 luni"/>
    <n v="9"/>
    <n v="10"/>
    <n v="7"/>
    <s v="c) Da, la toate materiile"/>
    <n v="9"/>
    <s v="a) studii superioare, în același an în care am absolvit BAC-ul"/>
    <s v="d) Științe Economice, f) Ştiinţele naturii, matematică şi statistică, g) Tehnologia informaţiei şi a comunicaţiilor"/>
    <n v="10"/>
    <s v="b) un eveniment deosebit, o reușită, o sărbătoare, c) o etapă în care a influențat semnificativ viitoarea mea cariera educațională, d) o etapa in care a influențat semnificativ viitoarea mea cariera educațională și profesională;, e) o etapa în care a influențat semnificativ dezvoltarea mea personală (în sens pozitiv)"/>
    <s v="9,51-10"/>
    <n v="9"/>
    <s v="Eu m-am pregătit destul de mult pentru acest examen și am trecut printr-o perioadă stresantă până am susținut probele. Bacalaureatul are o importanță destul de mare în ceea ce privește continuarea studiilor și formarea unei cariere, de aceea presiunea a fost mare, însă examenul în sine nu este chiar atât de dificil pentru un elev disciplinat, care știe ce are de pregătit și cum să își organizeze timpul."/>
  </r>
  <r>
    <n v="424"/>
    <n v="2025"/>
    <x v="2"/>
    <x v="6"/>
    <s v="Regiunea București-Ilfov"/>
    <s v="a) Feminin"/>
    <s v="a) filiera teoretică (profilurile umanist şi real)"/>
    <s v="a) mediul urban"/>
    <s v="Informatică"/>
    <n v="8"/>
    <s v="c) 6- 12 luni"/>
    <n v="8"/>
    <n v="10"/>
    <n v="10"/>
    <s v="a) Da, la una dintre materii"/>
    <n v="10"/>
    <s v="a) studii superioare, în același an în care am absolvit BAC-ul"/>
    <s v="d) Științe Economice, g) Tehnologia informaţiei şi a comunicaţiilor"/>
    <n v="10"/>
    <s v="b) un eveniment deosebit, o reușită, o sărbătoare, d) o etapa in care a influențat semnificativ viitoarea mea cariera educațională și profesională;, e) o etapa în care a influențat semnificativ dezvoltarea mea personală (în sens pozitiv)"/>
    <s v="9,51-10"/>
    <n v="10"/>
    <s v="Emotiile intense pentru mine au inceput odata cu intrarea in anul 2025. Faptul ca am avut competentele digitale in alta perioada a fost o decizie buna a Ministerului, deoarece am simtit ca am scapat de o etapa si m-am putut pregati linistita pentru ce era mai important."/>
  </r>
  <r>
    <n v="425"/>
    <n v="2025"/>
    <x v="2"/>
    <x v="42"/>
    <s v="Regiunea Nord-Est"/>
    <s v="a) Feminin"/>
    <s v="a) filiera teoretică (profilurile umanist şi real)"/>
    <s v="a) mediul urban"/>
    <s v="Informatică"/>
    <n v="7"/>
    <s v="e) M-am pregătit constant pe tot parcursul liceului"/>
    <n v="8"/>
    <n v="10"/>
    <n v="7"/>
    <s v="b) Da, la mai multe materii"/>
    <n v="6"/>
    <s v="a) studii superioare, în același an în care am absolvit BAC-ul"/>
    <s v="d) Științe Economice, g) Tehnologia informaţiei şi a comunicaţiilor"/>
    <n v="7"/>
    <s v="a) un pas/o etapa normal(ă) în viață"/>
    <s v="8,51-9,00"/>
    <n v="8"/>
    <s v="Bacalaureatul e foarte ușor dacă te pregătești sistematic în liceu"/>
  </r>
  <r>
    <n v="426"/>
    <n v="2025"/>
    <x v="2"/>
    <x v="6"/>
    <s v="Regiunea București-Ilfov"/>
    <s v="b) Masculin"/>
    <s v="a) filiera teoretică (profilurile umanist şi real)"/>
    <s v="a) mediul urban"/>
    <s v="Biologie"/>
    <n v="4"/>
    <s v="a) sub 3 luni"/>
    <n v="5"/>
    <n v="10"/>
    <n v="6"/>
    <s v="a) Da, la una dintre materii"/>
    <n v="3"/>
    <s v="a) studii superioare, în același an în care am absolvit BAC-ul"/>
    <s v="d) Științe Economice"/>
    <n v="3"/>
    <s v="a) un pas/o etapa normal(ă) în viață"/>
    <s v="6,51-7,00"/>
    <n v="10"/>
    <s v="Nu m-a pregatit pentru viata de adult, decat la niste materii cu care nu o sa ma mai intalnesc cu ele niciodata"/>
  </r>
  <r>
    <n v="427"/>
    <n v="2025"/>
    <x v="2"/>
    <x v="38"/>
    <s v="Regiunea Sud-Muntenia"/>
    <s v="b) Masculin"/>
    <s v="a) filiera teoretică (profilurile umanist şi real)"/>
    <s v="a) mediul urban"/>
    <s v="Informatică"/>
    <n v="5"/>
    <s v="c) 6- 12 luni"/>
    <n v="7"/>
    <n v="10"/>
    <n v="9"/>
    <s v="c) Da, la toate materiile"/>
    <n v="4"/>
    <s v="a) studii superioare, în același an în care am absolvit BAC-ul"/>
    <s v="d) Științe Economice, g) Tehnologia informaţiei şi a comunicaţiilor"/>
    <n v="5"/>
    <s v="a) un pas/o etapa normal(ă) în viață"/>
    <s v="9,01-9,50"/>
    <n v="9"/>
    <s v="Relaxanta, am putut sa ma concentrez mai mult la materiil cu adevarat importante"/>
  </r>
  <r>
    <n v="428"/>
    <n v="2025"/>
    <x v="2"/>
    <x v="3"/>
    <s v="Regiunea Sud-Est"/>
    <s v="a) Feminin"/>
    <s v="b) filiera tehnologică (profilurile tehnic, servicii, economic, resurse naturale şi protecţia mediului)"/>
    <s v="a) mediul urban"/>
    <s v="Geografie"/>
    <n v="4"/>
    <s v="b) 3- 6 luni"/>
    <n v="10"/>
    <n v="10"/>
    <n v="10"/>
    <s v="d) Nu, m-am pregătit singur(ă)"/>
    <n v="7"/>
    <s v="a) studii superioare, în același an în care am absolvit BAC-ul"/>
    <s v="d) Științe Economice"/>
    <n v="10"/>
    <s v="a) un pas/o etapa normal(ă) în viață"/>
    <s v="9,51-10"/>
    <n v="10"/>
    <s v="-"/>
  </r>
  <r>
    <m/>
    <m/>
    <x v="3"/>
    <x v="43"/>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6DBBF4-4042-44D7-BDD9-27C306421B28}"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8" firstHeaderRow="1" firstDataRow="1" firstDataCol="1"/>
  <pivotFields count="23">
    <pivotField showAll="0"/>
    <pivotField showAll="0"/>
    <pivotField showAll="0">
      <items count="5">
        <item x="0"/>
        <item x="1"/>
        <item x="2"/>
        <item x="3"/>
        <item t="default"/>
      </items>
    </pivotField>
    <pivotField axis="axisRow" showAll="0">
      <items count="45">
        <item x="19"/>
        <item x="28"/>
        <item x="10"/>
        <item x="24"/>
        <item x="27"/>
        <item x="37"/>
        <item x="34"/>
        <item x="1"/>
        <item x="15"/>
        <item x="30"/>
        <item x="41"/>
        <item x="20"/>
        <item x="17"/>
        <item x="18"/>
        <item x="39"/>
        <item x="38"/>
        <item x="26"/>
        <item x="13"/>
        <item x="29"/>
        <item x="32"/>
        <item x="35"/>
        <item x="16"/>
        <item x="2"/>
        <item x="14"/>
        <item x="23"/>
        <item x="33"/>
        <item x="31"/>
        <item x="6"/>
        <item x="40"/>
        <item x="0"/>
        <item x="11"/>
        <item x="21"/>
        <item x="42"/>
        <item x="5"/>
        <item x="36"/>
        <item x="7"/>
        <item x="8"/>
        <item x="25"/>
        <item x="12"/>
        <item x="9"/>
        <item x="4"/>
        <item x="22"/>
        <item x="3"/>
        <item x="4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Average of Q5. Cum ați evalua dificultatea Bacalaureatului în ansamblu? Pe o scală de la 1 la 10:"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6E1CA-03E9-4440-8D07-05D62B20812B}">
  <dimension ref="A3:B48"/>
  <sheetViews>
    <sheetView topLeftCell="A18" workbookViewId="0">
      <selection activeCell="A4" sqref="A4:B46"/>
    </sheetView>
  </sheetViews>
  <sheetFormatPr defaultRowHeight="15"/>
  <cols>
    <col min="1" max="1" width="21.44140625" bestFit="1" customWidth="1"/>
    <col min="2" max="3" width="83.44140625" bestFit="1" customWidth="1"/>
  </cols>
  <sheetData>
    <row r="3" spans="1:2">
      <c r="A3" s="27" t="s">
        <v>560</v>
      </c>
      <c r="B3" t="s">
        <v>563</v>
      </c>
    </row>
    <row r="4" spans="1:2">
      <c r="A4" s="28" t="s">
        <v>41</v>
      </c>
      <c r="B4" s="29">
        <v>5.5555555555555554</v>
      </c>
    </row>
    <row r="5" spans="1:2">
      <c r="A5" s="28" t="s">
        <v>215</v>
      </c>
      <c r="B5" s="29">
        <v>3.5</v>
      </c>
    </row>
    <row r="6" spans="1:2">
      <c r="A6" s="28" t="s">
        <v>114</v>
      </c>
      <c r="B6" s="29">
        <v>6.384615384615385</v>
      </c>
    </row>
    <row r="7" spans="1:2">
      <c r="A7" s="28" t="s">
        <v>30</v>
      </c>
      <c r="B7" s="29">
        <v>6.4</v>
      </c>
    </row>
    <row r="8" spans="1:2">
      <c r="A8" s="28" t="s">
        <v>206</v>
      </c>
      <c r="B8" s="29">
        <v>6.5</v>
      </c>
    </row>
    <row r="9" spans="1:2">
      <c r="A9" s="28" t="s">
        <v>134</v>
      </c>
      <c r="B9" s="29">
        <v>7</v>
      </c>
    </row>
    <row r="10" spans="1:2">
      <c r="A10" s="28" t="s">
        <v>306</v>
      </c>
      <c r="B10" s="29">
        <v>7</v>
      </c>
    </row>
    <row r="11" spans="1:2">
      <c r="A11" s="28" t="s">
        <v>46</v>
      </c>
      <c r="B11" s="29">
        <v>6.3888888888888893</v>
      </c>
    </row>
    <row r="12" spans="1:2">
      <c r="A12" s="28" t="s">
        <v>137</v>
      </c>
      <c r="B12" s="29">
        <v>7.2</v>
      </c>
    </row>
    <row r="13" spans="1:2">
      <c r="A13" s="28" t="s">
        <v>83</v>
      </c>
      <c r="B13" s="29">
        <v>6.8888888888888893</v>
      </c>
    </row>
    <row r="14" spans="1:2">
      <c r="A14" s="28" t="s">
        <v>308</v>
      </c>
      <c r="B14" s="29">
        <v>8</v>
      </c>
    </row>
    <row r="15" spans="1:2">
      <c r="A15" s="28" t="s">
        <v>156</v>
      </c>
      <c r="B15" s="29">
        <v>3</v>
      </c>
    </row>
    <row r="16" spans="1:2">
      <c r="A16" s="28" t="s">
        <v>141</v>
      </c>
      <c r="B16" s="29">
        <v>7.5</v>
      </c>
    </row>
    <row r="17" spans="1:2">
      <c r="A17" s="28" t="s">
        <v>147</v>
      </c>
      <c r="B17" s="29">
        <v>6.75</v>
      </c>
    </row>
    <row r="18" spans="1:2">
      <c r="A18" s="28" t="s">
        <v>326</v>
      </c>
      <c r="B18" s="29">
        <v>7.5</v>
      </c>
    </row>
    <row r="19" spans="1:2">
      <c r="A19" s="28" t="s">
        <v>217</v>
      </c>
      <c r="B19" s="29">
        <v>6.25</v>
      </c>
    </row>
    <row r="20" spans="1:2">
      <c r="A20" s="28" t="s">
        <v>203</v>
      </c>
      <c r="B20" s="29">
        <v>6.5909090909090908</v>
      </c>
    </row>
    <row r="21" spans="1:2">
      <c r="A21" s="28" t="s">
        <v>130</v>
      </c>
      <c r="B21" s="29">
        <v>7.333333333333333</v>
      </c>
    </row>
    <row r="22" spans="1:2">
      <c r="A22" s="28" t="s">
        <v>222</v>
      </c>
      <c r="B22" s="29">
        <v>7.7777777777777777</v>
      </c>
    </row>
    <row r="23" spans="1:2">
      <c r="A23" s="28" t="s">
        <v>82</v>
      </c>
      <c r="B23" s="29">
        <v>7.333333333333333</v>
      </c>
    </row>
    <row r="24" spans="1:2">
      <c r="A24" s="28" t="s">
        <v>297</v>
      </c>
      <c r="B24" s="29">
        <v>7.25</v>
      </c>
    </row>
    <row r="25" spans="1:2">
      <c r="A25" s="28" t="s">
        <v>27</v>
      </c>
      <c r="B25" s="29">
        <v>6.25</v>
      </c>
    </row>
    <row r="26" spans="1:2">
      <c r="A26" s="28" t="s">
        <v>55</v>
      </c>
      <c r="B26" s="29">
        <v>8.1666666666666661</v>
      </c>
    </row>
    <row r="27" spans="1:2">
      <c r="A27" s="28" t="s">
        <v>133</v>
      </c>
      <c r="B27" s="29">
        <v>6.4</v>
      </c>
    </row>
    <row r="28" spans="1:2">
      <c r="A28" s="28" t="s">
        <v>132</v>
      </c>
      <c r="B28" s="29">
        <v>6.4</v>
      </c>
    </row>
    <row r="29" spans="1:2">
      <c r="A29" s="28" t="s">
        <v>258</v>
      </c>
      <c r="B29" s="29">
        <v>8.1428571428571423</v>
      </c>
    </row>
    <row r="30" spans="1:2">
      <c r="A30" s="28" t="s">
        <v>246</v>
      </c>
      <c r="B30" s="29">
        <v>7.0909090909090908</v>
      </c>
    </row>
    <row r="31" spans="1:2">
      <c r="A31" s="28" t="s">
        <v>89</v>
      </c>
      <c r="B31" s="29">
        <v>6.8985507246376816</v>
      </c>
    </row>
    <row r="32" spans="1:2">
      <c r="A32" s="28" t="s">
        <v>310</v>
      </c>
      <c r="B32" s="29">
        <v>8</v>
      </c>
    </row>
    <row r="33" spans="1:2">
      <c r="A33" s="28" t="s">
        <v>14</v>
      </c>
      <c r="B33" s="29">
        <v>7.4</v>
      </c>
    </row>
    <row r="34" spans="1:2">
      <c r="A34" s="28" t="s">
        <v>119</v>
      </c>
      <c r="B34" s="29">
        <v>6.916666666666667</v>
      </c>
    </row>
    <row r="35" spans="1:2">
      <c r="A35" s="28" t="s">
        <v>166</v>
      </c>
      <c r="B35" s="29">
        <v>6.3888888888888893</v>
      </c>
    </row>
    <row r="36" spans="1:2">
      <c r="A36" s="28" t="s">
        <v>497</v>
      </c>
      <c r="B36" s="29">
        <v>7</v>
      </c>
    </row>
    <row r="37" spans="1:2">
      <c r="A37" s="28" t="s">
        <v>86</v>
      </c>
      <c r="B37" s="29">
        <v>7</v>
      </c>
    </row>
    <row r="38" spans="1:2">
      <c r="A38" s="28" t="s">
        <v>327</v>
      </c>
      <c r="B38" s="29">
        <v>8.3333333333333339</v>
      </c>
    </row>
    <row r="39" spans="1:2">
      <c r="A39" s="28" t="s">
        <v>95</v>
      </c>
      <c r="B39" s="29">
        <v>7.1</v>
      </c>
    </row>
    <row r="40" spans="1:2">
      <c r="A40" s="28" t="s">
        <v>98</v>
      </c>
      <c r="B40" s="29">
        <v>7.16</v>
      </c>
    </row>
    <row r="41" spans="1:2">
      <c r="A41" s="28" t="s">
        <v>195</v>
      </c>
      <c r="B41" s="29">
        <v>6.6</v>
      </c>
    </row>
    <row r="42" spans="1:2">
      <c r="A42" s="28" t="s">
        <v>122</v>
      </c>
      <c r="B42" s="29">
        <v>7</v>
      </c>
    </row>
    <row r="43" spans="1:2">
      <c r="A43" s="28" t="s">
        <v>102</v>
      </c>
      <c r="B43" s="29">
        <v>6.916666666666667</v>
      </c>
    </row>
    <row r="44" spans="1:2">
      <c r="A44" s="28" t="s">
        <v>74</v>
      </c>
      <c r="B44" s="29">
        <v>5.5</v>
      </c>
    </row>
    <row r="45" spans="1:2">
      <c r="A45" s="28" t="s">
        <v>168</v>
      </c>
      <c r="B45" s="29">
        <v>8</v>
      </c>
    </row>
    <row r="46" spans="1:2">
      <c r="A46" s="28" t="s">
        <v>35</v>
      </c>
      <c r="B46" s="29">
        <v>6.2727272727272725</v>
      </c>
    </row>
    <row r="47" spans="1:2">
      <c r="A47" s="28" t="s">
        <v>561</v>
      </c>
      <c r="B47" s="29"/>
    </row>
    <row r="48" spans="1:2">
      <c r="A48" s="28" t="s">
        <v>562</v>
      </c>
      <c r="B48" s="29">
        <v>6.8364485981308407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F848-3E90-4A9D-95E3-53A5532F8417}">
  <dimension ref="A1:B43"/>
  <sheetViews>
    <sheetView tabSelected="1" workbookViewId="0">
      <selection activeCell="F29" sqref="F29"/>
    </sheetView>
  </sheetViews>
  <sheetFormatPr defaultRowHeight="15"/>
  <sheetData>
    <row r="1" spans="1:2">
      <c r="A1" s="28" t="s">
        <v>156</v>
      </c>
      <c r="B1" s="30">
        <v>3</v>
      </c>
    </row>
    <row r="2" spans="1:2">
      <c r="A2" s="28" t="s">
        <v>215</v>
      </c>
      <c r="B2" s="30">
        <v>3.5</v>
      </c>
    </row>
    <row r="3" spans="1:2">
      <c r="A3" s="28" t="s">
        <v>74</v>
      </c>
      <c r="B3" s="30">
        <v>5.5</v>
      </c>
    </row>
    <row r="4" spans="1:2">
      <c r="A4" s="28" t="s">
        <v>41</v>
      </c>
      <c r="B4" s="30">
        <v>5.55</v>
      </c>
    </row>
    <row r="5" spans="1:2">
      <c r="A5" s="28" t="s">
        <v>217</v>
      </c>
      <c r="B5" s="30">
        <v>6.25</v>
      </c>
    </row>
    <row r="6" spans="1:2">
      <c r="A6" s="28" t="s">
        <v>27</v>
      </c>
      <c r="B6" s="30">
        <v>6.25</v>
      </c>
    </row>
    <row r="7" spans="1:2">
      <c r="A7" s="28" t="s">
        <v>35</v>
      </c>
      <c r="B7" s="30">
        <v>6.2727272727272725</v>
      </c>
    </row>
    <row r="8" spans="1:2">
      <c r="A8" s="28" t="s">
        <v>114</v>
      </c>
      <c r="B8" s="30">
        <v>6.384615384615385</v>
      </c>
    </row>
    <row r="9" spans="1:2">
      <c r="A9" s="28" t="s">
        <v>46</v>
      </c>
      <c r="B9" s="30">
        <v>6.3888888888888893</v>
      </c>
    </row>
    <row r="10" spans="1:2">
      <c r="A10" s="28" t="s">
        <v>166</v>
      </c>
      <c r="B10" s="30">
        <v>6.3888888888888893</v>
      </c>
    </row>
    <row r="11" spans="1:2">
      <c r="A11" s="28" t="s">
        <v>30</v>
      </c>
      <c r="B11" s="30">
        <v>6.4</v>
      </c>
    </row>
    <row r="12" spans="1:2">
      <c r="A12" s="28" t="s">
        <v>133</v>
      </c>
      <c r="B12" s="30">
        <v>6.4</v>
      </c>
    </row>
    <row r="13" spans="1:2">
      <c r="A13" s="28" t="s">
        <v>132</v>
      </c>
      <c r="B13" s="30">
        <v>6.4</v>
      </c>
    </row>
    <row r="14" spans="1:2">
      <c r="A14" s="28" t="s">
        <v>206</v>
      </c>
      <c r="B14" s="30">
        <v>6.5</v>
      </c>
    </row>
    <row r="15" spans="1:2">
      <c r="A15" s="28" t="s">
        <v>203</v>
      </c>
      <c r="B15" s="30">
        <v>6.5909090909090908</v>
      </c>
    </row>
    <row r="16" spans="1:2">
      <c r="A16" s="28" t="s">
        <v>195</v>
      </c>
      <c r="B16" s="30">
        <v>6.6</v>
      </c>
    </row>
    <row r="17" spans="1:2">
      <c r="A17" s="28" t="s">
        <v>147</v>
      </c>
      <c r="B17" s="30">
        <v>6.75</v>
      </c>
    </row>
    <row r="18" spans="1:2">
      <c r="A18" s="28" t="s">
        <v>83</v>
      </c>
      <c r="B18" s="30">
        <v>6.8888888888888893</v>
      </c>
    </row>
    <row r="19" spans="1:2">
      <c r="A19" s="28" t="s">
        <v>89</v>
      </c>
      <c r="B19" s="30">
        <v>6.8985507246376816</v>
      </c>
    </row>
    <row r="20" spans="1:2">
      <c r="A20" s="28" t="s">
        <v>119</v>
      </c>
      <c r="B20" s="30">
        <v>6.916666666666667</v>
      </c>
    </row>
    <row r="21" spans="1:2">
      <c r="A21" s="28" t="s">
        <v>102</v>
      </c>
      <c r="B21" s="30">
        <v>6.916666666666667</v>
      </c>
    </row>
    <row r="22" spans="1:2">
      <c r="A22" s="28" t="s">
        <v>134</v>
      </c>
      <c r="B22" s="30">
        <v>7</v>
      </c>
    </row>
    <row r="23" spans="1:2">
      <c r="A23" s="28" t="s">
        <v>306</v>
      </c>
      <c r="B23" s="30">
        <v>7</v>
      </c>
    </row>
    <row r="24" spans="1:2">
      <c r="A24" s="28" t="s">
        <v>497</v>
      </c>
      <c r="B24" s="30">
        <v>7</v>
      </c>
    </row>
    <row r="25" spans="1:2">
      <c r="A25" s="28" t="s">
        <v>86</v>
      </c>
      <c r="B25" s="30">
        <v>7</v>
      </c>
    </row>
    <row r="26" spans="1:2">
      <c r="A26" s="28" t="s">
        <v>122</v>
      </c>
      <c r="B26" s="30">
        <v>7</v>
      </c>
    </row>
    <row r="27" spans="1:2">
      <c r="A27" s="28" t="s">
        <v>246</v>
      </c>
      <c r="B27" s="30">
        <v>7.0909090909090908</v>
      </c>
    </row>
    <row r="28" spans="1:2">
      <c r="A28" s="28" t="s">
        <v>95</v>
      </c>
      <c r="B28" s="30">
        <v>7.1</v>
      </c>
    </row>
    <row r="29" spans="1:2">
      <c r="A29" s="28" t="s">
        <v>98</v>
      </c>
      <c r="B29" s="30">
        <v>7.16</v>
      </c>
    </row>
    <row r="30" spans="1:2">
      <c r="A30" s="28" t="s">
        <v>137</v>
      </c>
      <c r="B30" s="30">
        <v>7.2</v>
      </c>
    </row>
    <row r="31" spans="1:2">
      <c r="A31" s="28" t="s">
        <v>297</v>
      </c>
      <c r="B31" s="30">
        <v>7.25</v>
      </c>
    </row>
    <row r="32" spans="1:2">
      <c r="A32" s="28" t="s">
        <v>130</v>
      </c>
      <c r="B32" s="30">
        <v>7.333333333333333</v>
      </c>
    </row>
    <row r="33" spans="1:2">
      <c r="A33" s="28" t="s">
        <v>82</v>
      </c>
      <c r="B33" s="30">
        <v>7.333333333333333</v>
      </c>
    </row>
    <row r="34" spans="1:2">
      <c r="A34" s="28" t="s">
        <v>14</v>
      </c>
      <c r="B34" s="30">
        <v>7.4</v>
      </c>
    </row>
    <row r="35" spans="1:2">
      <c r="A35" s="28" t="s">
        <v>141</v>
      </c>
      <c r="B35" s="30">
        <v>7.5</v>
      </c>
    </row>
    <row r="36" spans="1:2">
      <c r="A36" s="28" t="s">
        <v>326</v>
      </c>
      <c r="B36" s="30">
        <v>7.5</v>
      </c>
    </row>
    <row r="37" spans="1:2">
      <c r="A37" s="28" t="s">
        <v>222</v>
      </c>
      <c r="B37" s="30">
        <v>7.7777777777777777</v>
      </c>
    </row>
    <row r="38" spans="1:2">
      <c r="A38" s="28" t="s">
        <v>308</v>
      </c>
      <c r="B38" s="30">
        <v>8</v>
      </c>
    </row>
    <row r="39" spans="1:2">
      <c r="A39" s="28" t="s">
        <v>310</v>
      </c>
      <c r="B39" s="30">
        <v>8</v>
      </c>
    </row>
    <row r="40" spans="1:2">
      <c r="A40" s="28" t="s">
        <v>168</v>
      </c>
      <c r="B40" s="30">
        <v>8</v>
      </c>
    </row>
    <row r="41" spans="1:2">
      <c r="A41" s="28" t="s">
        <v>258</v>
      </c>
      <c r="B41" s="30">
        <v>8.1428571428571423</v>
      </c>
    </row>
    <row r="42" spans="1:2">
      <c r="A42" s="28" t="s">
        <v>55</v>
      </c>
      <c r="B42" s="30">
        <v>8.1666666666666661</v>
      </c>
    </row>
    <row r="43" spans="1:2">
      <c r="A43" s="28" t="s">
        <v>327</v>
      </c>
      <c r="B43" s="30">
        <v>8.3333333333333339</v>
      </c>
    </row>
  </sheetData>
  <sortState ref="A1:B43">
    <sortCondition ref="B1"/>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49036-B03D-D948-9B15-BC2FE27D5D46}">
  <dimension ref="A1:W429"/>
  <sheetViews>
    <sheetView topLeftCell="T400" workbookViewId="0">
      <selection activeCell="B1" sqref="B1"/>
    </sheetView>
  </sheetViews>
  <sheetFormatPr defaultColWidth="10.77734375" defaultRowHeight="18.95" customHeight="1"/>
  <cols>
    <col min="1" max="1" width="14.109375" style="4" customWidth="1"/>
    <col min="2" max="2" width="19.33203125" style="5" customWidth="1"/>
    <col min="3" max="3" width="24.33203125" style="4" customWidth="1"/>
    <col min="4" max="4" width="37.109375" style="4" customWidth="1"/>
    <col min="5" max="5" width="28.33203125" style="4" customWidth="1"/>
    <col min="6" max="6" width="21.33203125" style="4" customWidth="1"/>
    <col min="7" max="7" width="17.33203125" style="4" customWidth="1"/>
    <col min="8" max="8" width="19.77734375" style="4" customWidth="1"/>
    <col min="9" max="10" width="21.77734375" style="4" customWidth="1"/>
    <col min="11" max="11" width="36.6640625" style="4" customWidth="1"/>
    <col min="12" max="12" width="15.109375" style="4" customWidth="1"/>
    <col min="13" max="13" width="16.109375" style="4" customWidth="1"/>
    <col min="14" max="14" width="17.33203125" style="4" customWidth="1"/>
    <col min="15" max="15" width="25" style="4" customWidth="1"/>
    <col min="16" max="16" width="28" style="4" customWidth="1"/>
    <col min="17" max="17" width="59" style="4" customWidth="1"/>
    <col min="18" max="18" width="43" style="4" customWidth="1"/>
    <col min="19" max="19" width="39.77734375" style="4" customWidth="1"/>
    <col min="20" max="20" width="50.33203125" style="4" customWidth="1"/>
    <col min="21" max="21" width="28.33203125" style="4" customWidth="1"/>
    <col min="22" max="22" width="35.77734375" style="4" customWidth="1"/>
    <col min="23" max="23" width="71.33203125" style="4" customWidth="1"/>
    <col min="24" max="16384" width="10.77734375" style="4"/>
  </cols>
  <sheetData>
    <row r="1" spans="1:23" s="3" customFormat="1" ht="80.099999999999994" customHeight="1">
      <c r="A1" s="6" t="s">
        <v>0</v>
      </c>
      <c r="B1" s="2" t="s">
        <v>1</v>
      </c>
      <c r="C1" s="1" t="s">
        <v>2</v>
      </c>
      <c r="D1" s="1" t="s">
        <v>3</v>
      </c>
      <c r="E1" s="1" t="s">
        <v>4</v>
      </c>
      <c r="F1" s="1" t="s">
        <v>5</v>
      </c>
      <c r="G1" s="1" t="s">
        <v>6</v>
      </c>
      <c r="H1" s="1" t="s">
        <v>7</v>
      </c>
      <c r="I1" s="1" t="s">
        <v>8</v>
      </c>
      <c r="J1" s="1" t="s">
        <v>534</v>
      </c>
      <c r="K1" s="1" t="s">
        <v>9</v>
      </c>
      <c r="L1" s="1" t="s">
        <v>10</v>
      </c>
      <c r="M1" s="1" t="s">
        <v>11</v>
      </c>
      <c r="N1" s="1" t="s">
        <v>535</v>
      </c>
      <c r="O1" s="1" t="s">
        <v>12</v>
      </c>
      <c r="P1" s="1" t="s">
        <v>536</v>
      </c>
      <c r="Q1" s="1" t="s">
        <v>537</v>
      </c>
      <c r="R1" s="1" t="s">
        <v>538</v>
      </c>
      <c r="S1" s="1" t="s">
        <v>539</v>
      </c>
      <c r="T1" s="1" t="s">
        <v>532</v>
      </c>
      <c r="U1" s="1" t="s">
        <v>533</v>
      </c>
      <c r="V1" s="1" t="s">
        <v>540</v>
      </c>
      <c r="W1" s="1" t="s">
        <v>541</v>
      </c>
    </row>
    <row r="2" spans="1:23" ht="18.95" customHeight="1">
      <c r="A2" s="7">
        <v>1</v>
      </c>
      <c r="B2" s="8">
        <v>1957</v>
      </c>
      <c r="C2" s="9" t="s">
        <v>13</v>
      </c>
      <c r="D2" s="10" t="s">
        <v>14</v>
      </c>
      <c r="E2" s="10" t="s">
        <v>15</v>
      </c>
      <c r="F2" s="10" t="s">
        <v>16</v>
      </c>
      <c r="G2" s="10" t="s">
        <v>17</v>
      </c>
      <c r="H2" s="10" t="s">
        <v>18</v>
      </c>
      <c r="I2" s="10" t="s">
        <v>19</v>
      </c>
      <c r="J2" s="10">
        <v>9</v>
      </c>
      <c r="K2" s="10" t="s">
        <v>20</v>
      </c>
      <c r="L2" s="10">
        <v>9</v>
      </c>
      <c r="M2" s="10">
        <v>5</v>
      </c>
      <c r="N2" s="10">
        <v>7</v>
      </c>
      <c r="O2" s="10" t="s">
        <v>21</v>
      </c>
      <c r="P2" s="10">
        <v>8</v>
      </c>
      <c r="Q2" s="10" t="s">
        <v>22</v>
      </c>
      <c r="R2" s="10" t="s">
        <v>23</v>
      </c>
      <c r="S2" s="10">
        <v>10</v>
      </c>
      <c r="T2" s="10" t="s">
        <v>25</v>
      </c>
      <c r="U2" s="10" t="s">
        <v>26</v>
      </c>
      <c r="V2" s="10">
        <v>9</v>
      </c>
      <c r="W2" s="11" t="s">
        <v>24</v>
      </c>
    </row>
    <row r="3" spans="1:23" ht="18.95" customHeight="1">
      <c r="A3" s="7">
        <v>2</v>
      </c>
      <c r="B3" s="12">
        <v>1964</v>
      </c>
      <c r="C3" s="9" t="s">
        <v>13</v>
      </c>
      <c r="D3" s="13" t="s">
        <v>46</v>
      </c>
      <c r="E3" s="13" t="s">
        <v>36</v>
      </c>
      <c r="F3" s="13" t="s">
        <v>16</v>
      </c>
      <c r="G3" s="13" t="s">
        <v>47</v>
      </c>
      <c r="H3" s="13" t="s">
        <v>48</v>
      </c>
      <c r="I3" s="13" t="s">
        <v>49</v>
      </c>
      <c r="J3" s="13">
        <v>10</v>
      </c>
      <c r="K3" s="13" t="s">
        <v>50</v>
      </c>
      <c r="L3" s="13">
        <v>1</v>
      </c>
      <c r="M3" s="13">
        <v>1</v>
      </c>
      <c r="N3" s="13">
        <v>4</v>
      </c>
      <c r="O3" s="13" t="s">
        <v>21</v>
      </c>
      <c r="P3" s="13">
        <v>10</v>
      </c>
      <c r="Q3" s="13" t="s">
        <v>44</v>
      </c>
      <c r="R3" s="13" t="s">
        <v>51</v>
      </c>
      <c r="S3" s="13">
        <v>1</v>
      </c>
      <c r="T3" s="13" t="s">
        <v>53</v>
      </c>
      <c r="U3" s="13" t="s">
        <v>54</v>
      </c>
      <c r="V3" s="13">
        <v>10</v>
      </c>
      <c r="W3" s="13" t="s">
        <v>52</v>
      </c>
    </row>
    <row r="4" spans="1:23" ht="18.95" customHeight="1">
      <c r="A4" s="7">
        <v>3</v>
      </c>
      <c r="B4" s="8">
        <v>1965</v>
      </c>
      <c r="C4" s="9" t="s">
        <v>13</v>
      </c>
      <c r="D4" s="10" t="s">
        <v>55</v>
      </c>
      <c r="E4" s="10" t="s">
        <v>56</v>
      </c>
      <c r="F4" s="10" t="s">
        <v>57</v>
      </c>
      <c r="G4" s="10" t="s">
        <v>17</v>
      </c>
      <c r="H4" s="10" t="s">
        <v>18</v>
      </c>
      <c r="I4" s="10" t="s">
        <v>58</v>
      </c>
      <c r="J4" s="10">
        <v>8</v>
      </c>
      <c r="K4" s="10" t="s">
        <v>20</v>
      </c>
      <c r="L4" s="10">
        <v>10</v>
      </c>
      <c r="M4" s="10">
        <v>9</v>
      </c>
      <c r="N4" s="10">
        <v>8</v>
      </c>
      <c r="O4" s="10" t="s">
        <v>21</v>
      </c>
      <c r="P4" s="10">
        <v>9</v>
      </c>
      <c r="Q4" s="10" t="s">
        <v>59</v>
      </c>
      <c r="R4" s="10" t="s">
        <v>45</v>
      </c>
      <c r="S4" s="10">
        <v>9</v>
      </c>
      <c r="T4" s="10" t="s">
        <v>61</v>
      </c>
      <c r="U4" s="10" t="s">
        <v>62</v>
      </c>
      <c r="V4" s="10">
        <v>9</v>
      </c>
      <c r="W4" s="11" t="s">
        <v>60</v>
      </c>
    </row>
    <row r="5" spans="1:23" ht="18.95" customHeight="1">
      <c r="A5" s="7">
        <v>4</v>
      </c>
      <c r="B5" s="12">
        <v>1965</v>
      </c>
      <c r="C5" s="9" t="s">
        <v>13</v>
      </c>
      <c r="D5" s="13" t="s">
        <v>35</v>
      </c>
      <c r="E5" s="13" t="s">
        <v>36</v>
      </c>
      <c r="F5" s="13" t="s">
        <v>57</v>
      </c>
      <c r="G5" s="13" t="s">
        <v>17</v>
      </c>
      <c r="H5" s="13" t="s">
        <v>18</v>
      </c>
      <c r="I5" s="13" t="s">
        <v>63</v>
      </c>
      <c r="J5" s="13">
        <v>5</v>
      </c>
      <c r="K5" s="13" t="s">
        <v>20</v>
      </c>
      <c r="L5" s="13">
        <v>8</v>
      </c>
      <c r="M5" s="13">
        <v>9</v>
      </c>
      <c r="N5" s="13">
        <v>8</v>
      </c>
      <c r="O5" s="13" t="s">
        <v>21</v>
      </c>
      <c r="P5" s="13">
        <v>8</v>
      </c>
      <c r="Q5" s="13" t="s">
        <v>64</v>
      </c>
      <c r="R5" s="13" t="s">
        <v>65</v>
      </c>
      <c r="S5" s="13">
        <v>7</v>
      </c>
      <c r="T5" s="13" t="s">
        <v>67</v>
      </c>
      <c r="U5" s="13" t="s">
        <v>68</v>
      </c>
      <c r="V5" s="13">
        <v>6</v>
      </c>
      <c r="W5" s="14" t="s">
        <v>66</v>
      </c>
    </row>
    <row r="6" spans="1:23" ht="18.95" customHeight="1">
      <c r="A6" s="7">
        <v>5</v>
      </c>
      <c r="B6" s="8">
        <v>1965</v>
      </c>
      <c r="C6" s="9" t="s">
        <v>13</v>
      </c>
      <c r="D6" s="10" t="s">
        <v>35</v>
      </c>
      <c r="E6" s="10" t="s">
        <v>36</v>
      </c>
      <c r="F6" s="10" t="s">
        <v>57</v>
      </c>
      <c r="G6" s="10" t="s">
        <v>17</v>
      </c>
      <c r="H6" s="10" t="s">
        <v>18</v>
      </c>
      <c r="I6" s="10" t="s">
        <v>69</v>
      </c>
      <c r="J6" s="10">
        <v>7</v>
      </c>
      <c r="K6" s="10" t="s">
        <v>20</v>
      </c>
      <c r="L6" s="10">
        <v>10</v>
      </c>
      <c r="M6" s="10">
        <v>10</v>
      </c>
      <c r="N6" s="10">
        <v>9</v>
      </c>
      <c r="O6" s="10" t="s">
        <v>21</v>
      </c>
      <c r="P6" s="10">
        <v>9</v>
      </c>
      <c r="Q6" s="10" t="s">
        <v>22</v>
      </c>
      <c r="R6" s="10" t="s">
        <v>23</v>
      </c>
      <c r="S6" s="10">
        <v>10</v>
      </c>
      <c r="T6" s="10" t="s">
        <v>39</v>
      </c>
      <c r="U6" s="10" t="s">
        <v>68</v>
      </c>
      <c r="V6" s="10">
        <v>6</v>
      </c>
      <c r="W6" s="11" t="s">
        <v>70</v>
      </c>
    </row>
    <row r="7" spans="1:23" ht="18.95" customHeight="1">
      <c r="A7" s="7">
        <v>6</v>
      </c>
      <c r="B7" s="12">
        <v>1965</v>
      </c>
      <c r="C7" s="9" t="s">
        <v>13</v>
      </c>
      <c r="D7" s="13" t="s">
        <v>14</v>
      </c>
      <c r="E7" s="13" t="s">
        <v>15</v>
      </c>
      <c r="F7" s="13" t="s">
        <v>57</v>
      </c>
      <c r="G7" s="13" t="s">
        <v>17</v>
      </c>
      <c r="H7" s="13" t="s">
        <v>18</v>
      </c>
      <c r="I7" s="13" t="s">
        <v>71</v>
      </c>
      <c r="J7" s="13">
        <v>10</v>
      </c>
      <c r="K7" s="13" t="s">
        <v>20</v>
      </c>
      <c r="L7" s="13">
        <v>10</v>
      </c>
      <c r="M7" s="13">
        <v>10</v>
      </c>
      <c r="N7" s="13">
        <v>9</v>
      </c>
      <c r="O7" s="13" t="s">
        <v>21</v>
      </c>
      <c r="P7" s="13">
        <v>10</v>
      </c>
      <c r="Q7" s="13" t="s">
        <v>22</v>
      </c>
      <c r="R7" s="13" t="s">
        <v>23</v>
      </c>
      <c r="S7" s="13">
        <v>10</v>
      </c>
      <c r="T7" s="13" t="s">
        <v>73</v>
      </c>
      <c r="U7" s="13" t="s">
        <v>26</v>
      </c>
      <c r="V7" s="13">
        <v>8</v>
      </c>
      <c r="W7" s="14" t="s">
        <v>72</v>
      </c>
    </row>
    <row r="8" spans="1:23" ht="18.95" customHeight="1">
      <c r="A8" s="7">
        <v>7</v>
      </c>
      <c r="B8" s="8">
        <v>1965</v>
      </c>
      <c r="C8" s="9" t="s">
        <v>13</v>
      </c>
      <c r="D8" s="10" t="s">
        <v>74</v>
      </c>
      <c r="E8" s="10" t="s">
        <v>75</v>
      </c>
      <c r="F8" s="10" t="s">
        <v>57</v>
      </c>
      <c r="G8" s="10" t="s">
        <v>17</v>
      </c>
      <c r="H8" s="10" t="s">
        <v>18</v>
      </c>
      <c r="I8" s="10" t="s">
        <v>76</v>
      </c>
      <c r="J8" s="10">
        <v>4</v>
      </c>
      <c r="K8" s="10" t="s">
        <v>20</v>
      </c>
      <c r="L8" s="10">
        <v>10</v>
      </c>
      <c r="M8" s="10">
        <v>1</v>
      </c>
      <c r="N8" s="10">
        <v>8</v>
      </c>
      <c r="O8" s="10" t="s">
        <v>21</v>
      </c>
      <c r="P8" s="10">
        <v>5</v>
      </c>
      <c r="Q8" s="10" t="s">
        <v>77</v>
      </c>
      <c r="R8" s="10" t="s">
        <v>78</v>
      </c>
      <c r="S8" s="10">
        <v>8</v>
      </c>
      <c r="T8" s="10" t="s">
        <v>67</v>
      </c>
      <c r="U8" s="10" t="s">
        <v>80</v>
      </c>
      <c r="V8" s="10">
        <v>6</v>
      </c>
      <c r="W8" s="10" t="s">
        <v>79</v>
      </c>
    </row>
    <row r="9" spans="1:23" ht="18.95" customHeight="1">
      <c r="A9" s="7">
        <v>8</v>
      </c>
      <c r="B9" s="12">
        <v>1966</v>
      </c>
      <c r="C9" s="9" t="s">
        <v>13</v>
      </c>
      <c r="D9" s="13" t="s">
        <v>86</v>
      </c>
      <c r="E9" s="13" t="s">
        <v>87</v>
      </c>
      <c r="F9" s="13" t="s">
        <v>57</v>
      </c>
      <c r="G9" s="13" t="s">
        <v>17</v>
      </c>
      <c r="H9" s="13" t="s">
        <v>18</v>
      </c>
      <c r="I9" s="13" t="s">
        <v>81</v>
      </c>
      <c r="J9" s="13">
        <v>6</v>
      </c>
      <c r="K9" s="13" t="s">
        <v>20</v>
      </c>
      <c r="L9" s="13">
        <v>10</v>
      </c>
      <c r="M9" s="13">
        <v>2</v>
      </c>
      <c r="N9" s="13">
        <v>10</v>
      </c>
      <c r="O9" s="13" t="s">
        <v>21</v>
      </c>
      <c r="P9" s="13">
        <v>4</v>
      </c>
      <c r="Q9" s="13" t="s">
        <v>37</v>
      </c>
      <c r="R9" s="13" t="s">
        <v>45</v>
      </c>
      <c r="S9" s="13">
        <v>10</v>
      </c>
      <c r="T9" s="13" t="s">
        <v>73</v>
      </c>
      <c r="U9" s="13" t="s">
        <v>80</v>
      </c>
      <c r="V9" s="13">
        <v>9</v>
      </c>
      <c r="W9" s="14" t="s">
        <v>88</v>
      </c>
    </row>
    <row r="10" spans="1:23" ht="18.95" customHeight="1">
      <c r="A10" s="7">
        <v>9</v>
      </c>
      <c r="B10" s="8">
        <v>1966</v>
      </c>
      <c r="C10" s="9" t="s">
        <v>13</v>
      </c>
      <c r="D10" s="10" t="s">
        <v>89</v>
      </c>
      <c r="E10" s="10" t="s">
        <v>90</v>
      </c>
      <c r="F10" s="10" t="s">
        <v>16</v>
      </c>
      <c r="G10" s="10" t="s">
        <v>17</v>
      </c>
      <c r="H10" s="10" t="s">
        <v>18</v>
      </c>
      <c r="I10" s="10" t="s">
        <v>81</v>
      </c>
      <c r="J10" s="10">
        <v>8</v>
      </c>
      <c r="K10" s="10" t="s">
        <v>20</v>
      </c>
      <c r="L10" s="10">
        <v>10</v>
      </c>
      <c r="M10" s="10">
        <v>10</v>
      </c>
      <c r="N10" s="10">
        <v>8</v>
      </c>
      <c r="O10" s="10" t="s">
        <v>21</v>
      </c>
      <c r="P10" s="10">
        <v>9</v>
      </c>
      <c r="Q10" s="10" t="s">
        <v>22</v>
      </c>
      <c r="R10" s="10" t="s">
        <v>29</v>
      </c>
      <c r="S10" s="10">
        <v>9</v>
      </c>
      <c r="T10" s="10" t="s">
        <v>34</v>
      </c>
      <c r="U10" s="10" t="s">
        <v>80</v>
      </c>
      <c r="V10" s="10">
        <v>8</v>
      </c>
      <c r="W10" s="11" t="s">
        <v>91</v>
      </c>
    </row>
    <row r="11" spans="1:23" ht="18.95" customHeight="1">
      <c r="A11" s="7">
        <v>10</v>
      </c>
      <c r="B11" s="12">
        <v>1967</v>
      </c>
      <c r="C11" s="9" t="s">
        <v>13</v>
      </c>
      <c r="D11" s="13" t="s">
        <v>95</v>
      </c>
      <c r="E11" s="13" t="s">
        <v>42</v>
      </c>
      <c r="F11" s="13" t="s">
        <v>16</v>
      </c>
      <c r="G11" s="13" t="s">
        <v>17</v>
      </c>
      <c r="H11" s="13" t="s">
        <v>48</v>
      </c>
      <c r="I11" s="13" t="s">
        <v>81</v>
      </c>
      <c r="J11" s="13">
        <v>9</v>
      </c>
      <c r="K11" s="13" t="s">
        <v>93</v>
      </c>
      <c r="L11" s="13">
        <v>9</v>
      </c>
      <c r="M11" s="13">
        <v>5</v>
      </c>
      <c r="N11" s="13">
        <v>8</v>
      </c>
      <c r="O11" s="13" t="s">
        <v>21</v>
      </c>
      <c r="P11" s="13">
        <v>7</v>
      </c>
      <c r="Q11" s="13" t="s">
        <v>22</v>
      </c>
      <c r="R11" s="13" t="s">
        <v>33</v>
      </c>
      <c r="S11" s="13">
        <v>9</v>
      </c>
      <c r="T11" s="13" t="s">
        <v>73</v>
      </c>
      <c r="U11" s="13" t="s">
        <v>97</v>
      </c>
      <c r="V11" s="13">
        <v>9</v>
      </c>
      <c r="W11" s="14" t="s">
        <v>96</v>
      </c>
    </row>
    <row r="12" spans="1:23" ht="18.95" customHeight="1">
      <c r="A12" s="7">
        <v>11</v>
      </c>
      <c r="B12" s="8">
        <v>1967</v>
      </c>
      <c r="C12" s="9" t="s">
        <v>13</v>
      </c>
      <c r="D12" s="10" t="s">
        <v>98</v>
      </c>
      <c r="E12" s="10" t="s">
        <v>15</v>
      </c>
      <c r="F12" s="10" t="s">
        <v>57</v>
      </c>
      <c r="G12" s="10" t="s">
        <v>17</v>
      </c>
      <c r="H12" s="10" t="s">
        <v>18</v>
      </c>
      <c r="I12" s="10" t="s">
        <v>84</v>
      </c>
      <c r="J12" s="10">
        <v>9</v>
      </c>
      <c r="K12" s="10" t="s">
        <v>85</v>
      </c>
      <c r="L12" s="10">
        <v>8</v>
      </c>
      <c r="M12" s="10">
        <v>10</v>
      </c>
      <c r="N12" s="10">
        <v>9</v>
      </c>
      <c r="O12" s="10" t="s">
        <v>21</v>
      </c>
      <c r="P12" s="10">
        <v>7</v>
      </c>
      <c r="Q12" s="10" t="s">
        <v>59</v>
      </c>
      <c r="R12" s="10" t="s">
        <v>45</v>
      </c>
      <c r="S12" s="10">
        <v>8</v>
      </c>
      <c r="T12" s="10" t="s">
        <v>34</v>
      </c>
      <c r="U12" s="10" t="s">
        <v>54</v>
      </c>
      <c r="V12" s="10">
        <v>10</v>
      </c>
      <c r="W12" s="11" t="s">
        <v>99</v>
      </c>
    </row>
    <row r="13" spans="1:23" ht="18.95" customHeight="1">
      <c r="A13" s="7">
        <v>12</v>
      </c>
      <c r="B13" s="12">
        <v>1967</v>
      </c>
      <c r="C13" s="9" t="s">
        <v>13</v>
      </c>
      <c r="D13" s="13" t="s">
        <v>86</v>
      </c>
      <c r="E13" s="13" t="s">
        <v>87</v>
      </c>
      <c r="F13" s="13" t="s">
        <v>57</v>
      </c>
      <c r="G13" s="13" t="s">
        <v>17</v>
      </c>
      <c r="H13" s="13" t="s">
        <v>18</v>
      </c>
      <c r="I13" s="13" t="s">
        <v>100</v>
      </c>
      <c r="J13" s="13">
        <v>2</v>
      </c>
      <c r="K13" s="13" t="s">
        <v>50</v>
      </c>
      <c r="L13" s="13">
        <v>9</v>
      </c>
      <c r="M13" s="13">
        <v>1</v>
      </c>
      <c r="N13" s="13">
        <v>5</v>
      </c>
      <c r="O13" s="13" t="s">
        <v>21</v>
      </c>
      <c r="P13" s="13">
        <v>5</v>
      </c>
      <c r="Q13" s="13" t="s">
        <v>59</v>
      </c>
      <c r="R13" s="13" t="s">
        <v>45</v>
      </c>
      <c r="S13" s="13">
        <v>10</v>
      </c>
      <c r="T13" s="13" t="s">
        <v>53</v>
      </c>
      <c r="U13" s="13" t="s">
        <v>26</v>
      </c>
      <c r="V13" s="13">
        <v>2</v>
      </c>
      <c r="W13" s="13" t="s">
        <v>101</v>
      </c>
    </row>
    <row r="14" spans="1:23" ht="18.95" customHeight="1">
      <c r="A14" s="7">
        <v>13</v>
      </c>
      <c r="B14" s="8">
        <v>1967</v>
      </c>
      <c r="C14" s="9" t="s">
        <v>13</v>
      </c>
      <c r="D14" s="10" t="s">
        <v>102</v>
      </c>
      <c r="E14" s="10" t="s">
        <v>36</v>
      </c>
      <c r="F14" s="10" t="s">
        <v>16</v>
      </c>
      <c r="G14" s="10" t="s">
        <v>103</v>
      </c>
      <c r="H14" s="10" t="s">
        <v>18</v>
      </c>
      <c r="I14" s="10" t="s">
        <v>76</v>
      </c>
      <c r="J14" s="10">
        <v>7</v>
      </c>
      <c r="K14" s="10" t="s">
        <v>20</v>
      </c>
      <c r="L14" s="10">
        <v>10</v>
      </c>
      <c r="M14" s="10">
        <v>10</v>
      </c>
      <c r="N14" s="10">
        <v>10</v>
      </c>
      <c r="O14" s="10" t="s">
        <v>94</v>
      </c>
      <c r="P14" s="10">
        <v>10</v>
      </c>
      <c r="Q14" s="10" t="s">
        <v>44</v>
      </c>
      <c r="R14" s="10" t="s">
        <v>38</v>
      </c>
      <c r="S14" s="10">
        <v>7</v>
      </c>
      <c r="T14" s="10" t="s">
        <v>105</v>
      </c>
      <c r="U14" s="10" t="s">
        <v>97</v>
      </c>
      <c r="V14" s="10">
        <v>8</v>
      </c>
      <c r="W14" s="10" t="s">
        <v>104</v>
      </c>
    </row>
    <row r="15" spans="1:23" ht="18.95" customHeight="1">
      <c r="A15" s="7">
        <v>14</v>
      </c>
      <c r="B15" s="12">
        <v>1968</v>
      </c>
      <c r="C15" s="9" t="s">
        <v>13</v>
      </c>
      <c r="D15" s="13" t="s">
        <v>46</v>
      </c>
      <c r="E15" s="13" t="s">
        <v>36</v>
      </c>
      <c r="F15" s="13" t="s">
        <v>57</v>
      </c>
      <c r="G15" s="13" t="s">
        <v>47</v>
      </c>
      <c r="H15" s="13" t="s">
        <v>18</v>
      </c>
      <c r="I15" s="13" t="s">
        <v>76</v>
      </c>
      <c r="J15" s="13">
        <v>1</v>
      </c>
      <c r="K15" s="13" t="s">
        <v>50</v>
      </c>
      <c r="L15" s="13">
        <v>8</v>
      </c>
      <c r="M15" s="13">
        <v>10</v>
      </c>
      <c r="N15" s="13">
        <v>8</v>
      </c>
      <c r="O15" s="13" t="s">
        <v>43</v>
      </c>
      <c r="P15" s="13">
        <v>10</v>
      </c>
      <c r="Q15" s="13" t="s">
        <v>22</v>
      </c>
      <c r="R15" s="13" t="s">
        <v>106</v>
      </c>
      <c r="S15" s="13">
        <v>1</v>
      </c>
      <c r="T15" s="13" t="s">
        <v>34</v>
      </c>
      <c r="U15" s="13" t="s">
        <v>97</v>
      </c>
      <c r="V15" s="13">
        <v>10</v>
      </c>
      <c r="W15" s="13" t="s">
        <v>107</v>
      </c>
    </row>
    <row r="16" spans="1:23" ht="18.95" customHeight="1">
      <c r="A16" s="7">
        <v>15</v>
      </c>
      <c r="B16" s="8">
        <v>1969</v>
      </c>
      <c r="C16" s="9" t="s">
        <v>13</v>
      </c>
      <c r="D16" s="10" t="s">
        <v>86</v>
      </c>
      <c r="E16" s="10" t="s">
        <v>87</v>
      </c>
      <c r="F16" s="10" t="s">
        <v>57</v>
      </c>
      <c r="G16" s="10" t="s">
        <v>17</v>
      </c>
      <c r="H16" s="10" t="s">
        <v>48</v>
      </c>
      <c r="I16" s="10" t="s">
        <v>108</v>
      </c>
      <c r="J16" s="10">
        <v>10</v>
      </c>
      <c r="K16" s="10" t="s">
        <v>50</v>
      </c>
      <c r="L16" s="10">
        <v>8</v>
      </c>
      <c r="M16" s="10">
        <v>5</v>
      </c>
      <c r="N16" s="10">
        <v>8</v>
      </c>
      <c r="O16" s="10" t="s">
        <v>21</v>
      </c>
      <c r="P16" s="10">
        <v>9</v>
      </c>
      <c r="Q16" s="10" t="s">
        <v>64</v>
      </c>
      <c r="R16" s="10" t="s">
        <v>109</v>
      </c>
      <c r="S16" s="10">
        <v>9</v>
      </c>
      <c r="T16" s="10" t="s">
        <v>111</v>
      </c>
      <c r="U16" s="10" t="s">
        <v>80</v>
      </c>
      <c r="V16" s="10">
        <v>8</v>
      </c>
      <c r="W16" s="11" t="s">
        <v>110</v>
      </c>
    </row>
    <row r="17" spans="1:23" ht="18.95" customHeight="1">
      <c r="A17" s="7">
        <v>16</v>
      </c>
      <c r="B17" s="12">
        <v>1969</v>
      </c>
      <c r="C17" s="9" t="s">
        <v>13</v>
      </c>
      <c r="D17" s="13" t="s">
        <v>98</v>
      </c>
      <c r="E17" s="13" t="s">
        <v>15</v>
      </c>
      <c r="F17" s="13" t="s">
        <v>16</v>
      </c>
      <c r="G17" s="13" t="s">
        <v>17</v>
      </c>
      <c r="H17" s="13" t="s">
        <v>18</v>
      </c>
      <c r="I17" s="13" t="s">
        <v>76</v>
      </c>
      <c r="J17" s="13">
        <v>9</v>
      </c>
      <c r="K17" s="13" t="s">
        <v>93</v>
      </c>
      <c r="L17" s="13">
        <v>9</v>
      </c>
      <c r="M17" s="13">
        <v>8</v>
      </c>
      <c r="N17" s="13">
        <v>9</v>
      </c>
      <c r="O17" s="13" t="s">
        <v>21</v>
      </c>
      <c r="P17" s="13">
        <v>9</v>
      </c>
      <c r="Q17" s="13" t="s">
        <v>22</v>
      </c>
      <c r="R17" s="13" t="s">
        <v>112</v>
      </c>
      <c r="S17" s="13">
        <v>10</v>
      </c>
      <c r="T17" s="13" t="s">
        <v>61</v>
      </c>
      <c r="U17" s="13" t="s">
        <v>80</v>
      </c>
      <c r="V17" s="13">
        <v>8</v>
      </c>
      <c r="W17" s="13" t="s">
        <v>113</v>
      </c>
    </row>
    <row r="18" spans="1:23" ht="18.95" customHeight="1">
      <c r="A18" s="7">
        <v>17</v>
      </c>
      <c r="B18" s="8">
        <v>1970</v>
      </c>
      <c r="C18" s="9" t="s">
        <v>13</v>
      </c>
      <c r="D18" s="10" t="s">
        <v>114</v>
      </c>
      <c r="E18" s="10" t="s">
        <v>56</v>
      </c>
      <c r="F18" s="10" t="s">
        <v>57</v>
      </c>
      <c r="G18" s="10" t="s">
        <v>17</v>
      </c>
      <c r="H18" s="10" t="s">
        <v>18</v>
      </c>
      <c r="I18" s="10" t="s">
        <v>76</v>
      </c>
      <c r="J18" s="10">
        <v>10</v>
      </c>
      <c r="K18" s="10" t="s">
        <v>20</v>
      </c>
      <c r="L18" s="10">
        <v>10</v>
      </c>
      <c r="M18" s="10">
        <v>10</v>
      </c>
      <c r="N18" s="10">
        <v>10</v>
      </c>
      <c r="O18" s="10" t="s">
        <v>21</v>
      </c>
      <c r="P18" s="10">
        <v>8</v>
      </c>
      <c r="Q18" s="10" t="s">
        <v>22</v>
      </c>
      <c r="R18" s="10" t="s">
        <v>38</v>
      </c>
      <c r="S18" s="10">
        <v>10</v>
      </c>
      <c r="T18" s="10" t="s">
        <v>34</v>
      </c>
      <c r="U18" s="10" t="s">
        <v>54</v>
      </c>
      <c r="V18" s="10">
        <v>9</v>
      </c>
      <c r="W18" s="11" t="s">
        <v>115</v>
      </c>
    </row>
    <row r="19" spans="1:23" ht="18.95" customHeight="1">
      <c r="A19" s="7">
        <v>18</v>
      </c>
      <c r="B19" s="12">
        <v>1971</v>
      </c>
      <c r="C19" s="9" t="s">
        <v>13</v>
      </c>
      <c r="D19" s="13" t="s">
        <v>95</v>
      </c>
      <c r="E19" s="13" t="s">
        <v>42</v>
      </c>
      <c r="F19" s="13" t="s">
        <v>16</v>
      </c>
      <c r="G19" s="13" t="s">
        <v>17</v>
      </c>
      <c r="H19" s="13" t="s">
        <v>18</v>
      </c>
      <c r="I19" s="13" t="s">
        <v>31</v>
      </c>
      <c r="J19" s="13">
        <v>9</v>
      </c>
      <c r="K19" s="13" t="s">
        <v>20</v>
      </c>
      <c r="L19" s="13">
        <v>9</v>
      </c>
      <c r="M19" s="13">
        <v>4</v>
      </c>
      <c r="N19" s="13">
        <v>9</v>
      </c>
      <c r="O19" s="13" t="s">
        <v>21</v>
      </c>
      <c r="P19" s="13">
        <v>2</v>
      </c>
      <c r="Q19" s="13" t="s">
        <v>22</v>
      </c>
      <c r="R19" s="13" t="s">
        <v>45</v>
      </c>
      <c r="S19" s="13">
        <v>10</v>
      </c>
      <c r="T19" s="13" t="s">
        <v>34</v>
      </c>
      <c r="U19" s="13" t="s">
        <v>97</v>
      </c>
      <c r="V19" s="13">
        <v>10</v>
      </c>
      <c r="W19" s="13" t="s">
        <v>118</v>
      </c>
    </row>
    <row r="20" spans="1:23" ht="18.95" customHeight="1">
      <c r="A20" s="7">
        <v>19</v>
      </c>
      <c r="B20" s="8">
        <v>1972</v>
      </c>
      <c r="C20" s="9" t="s">
        <v>13</v>
      </c>
      <c r="D20" s="10" t="s">
        <v>119</v>
      </c>
      <c r="E20" s="10" t="s">
        <v>75</v>
      </c>
      <c r="F20" s="10" t="s">
        <v>57</v>
      </c>
      <c r="G20" s="10" t="s">
        <v>17</v>
      </c>
      <c r="H20" s="10" t="s">
        <v>18</v>
      </c>
      <c r="I20" s="10" t="s">
        <v>49</v>
      </c>
      <c r="J20" s="10">
        <v>1</v>
      </c>
      <c r="K20" s="10" t="s">
        <v>20</v>
      </c>
      <c r="L20" s="10">
        <v>9</v>
      </c>
      <c r="M20" s="10">
        <v>10</v>
      </c>
      <c r="N20" s="10">
        <v>10</v>
      </c>
      <c r="O20" s="10" t="s">
        <v>21</v>
      </c>
      <c r="P20" s="10">
        <v>1</v>
      </c>
      <c r="Q20" s="10" t="s">
        <v>59</v>
      </c>
      <c r="R20" s="10" t="s">
        <v>120</v>
      </c>
      <c r="S20" s="10">
        <v>9</v>
      </c>
      <c r="T20" s="10" t="s">
        <v>73</v>
      </c>
      <c r="U20" s="10" t="s">
        <v>26</v>
      </c>
      <c r="V20" s="10">
        <v>9</v>
      </c>
      <c r="W20" s="11" t="s">
        <v>121</v>
      </c>
    </row>
    <row r="21" spans="1:23" ht="18.95" customHeight="1">
      <c r="A21" s="7">
        <v>20</v>
      </c>
      <c r="B21" s="12">
        <v>1972</v>
      </c>
      <c r="C21" s="9" t="s">
        <v>13</v>
      </c>
      <c r="D21" s="13" t="s">
        <v>122</v>
      </c>
      <c r="E21" s="13" t="s">
        <v>28</v>
      </c>
      <c r="F21" s="13" t="s">
        <v>57</v>
      </c>
      <c r="G21" s="13" t="s">
        <v>17</v>
      </c>
      <c r="H21" s="13" t="s">
        <v>18</v>
      </c>
      <c r="I21" s="13" t="s">
        <v>49</v>
      </c>
      <c r="J21" s="13">
        <v>5</v>
      </c>
      <c r="K21" s="13" t="s">
        <v>20</v>
      </c>
      <c r="L21" s="13">
        <v>10</v>
      </c>
      <c r="M21" s="13">
        <v>8</v>
      </c>
      <c r="N21" s="13">
        <v>10</v>
      </c>
      <c r="O21" s="13" t="s">
        <v>21</v>
      </c>
      <c r="P21" s="13">
        <v>7</v>
      </c>
      <c r="Q21" s="13" t="s">
        <v>59</v>
      </c>
      <c r="R21" s="13" t="s">
        <v>45</v>
      </c>
      <c r="S21" s="13">
        <v>8</v>
      </c>
      <c r="T21" s="13" t="s">
        <v>124</v>
      </c>
      <c r="U21" s="13" t="s">
        <v>97</v>
      </c>
      <c r="V21" s="13">
        <v>9</v>
      </c>
      <c r="W21" s="14" t="s">
        <v>123</v>
      </c>
    </row>
    <row r="22" spans="1:23" ht="18.95" customHeight="1">
      <c r="A22" s="7">
        <v>21</v>
      </c>
      <c r="B22" s="8">
        <v>1972</v>
      </c>
      <c r="C22" s="9" t="s">
        <v>13</v>
      </c>
      <c r="D22" s="10" t="s">
        <v>86</v>
      </c>
      <c r="E22" s="10" t="s">
        <v>87</v>
      </c>
      <c r="F22" s="10" t="s">
        <v>16</v>
      </c>
      <c r="G22" s="10" t="s">
        <v>17</v>
      </c>
      <c r="H22" s="10" t="s">
        <v>18</v>
      </c>
      <c r="I22" s="10" t="s">
        <v>84</v>
      </c>
      <c r="J22" s="10">
        <v>7</v>
      </c>
      <c r="K22" s="10" t="s">
        <v>20</v>
      </c>
      <c r="L22" s="10">
        <v>8</v>
      </c>
      <c r="M22" s="10">
        <v>5</v>
      </c>
      <c r="N22" s="10">
        <v>8</v>
      </c>
      <c r="O22" s="10" t="s">
        <v>21</v>
      </c>
      <c r="P22" s="10">
        <v>8</v>
      </c>
      <c r="Q22" s="10" t="s">
        <v>125</v>
      </c>
      <c r="R22" s="10" t="s">
        <v>112</v>
      </c>
      <c r="S22" s="10">
        <v>8</v>
      </c>
      <c r="T22" s="10" t="s">
        <v>34</v>
      </c>
      <c r="U22" s="10" t="s">
        <v>80</v>
      </c>
      <c r="V22" s="10">
        <v>8</v>
      </c>
      <c r="W22" s="11" t="s">
        <v>126</v>
      </c>
    </row>
    <row r="23" spans="1:23" ht="18.95" customHeight="1">
      <c r="A23" s="7">
        <v>22</v>
      </c>
      <c r="B23" s="12">
        <v>1972</v>
      </c>
      <c r="C23" s="9" t="s">
        <v>13</v>
      </c>
      <c r="D23" s="13" t="s">
        <v>89</v>
      </c>
      <c r="E23" s="13" t="s">
        <v>90</v>
      </c>
      <c r="F23" s="13" t="s">
        <v>57</v>
      </c>
      <c r="G23" s="13" t="s">
        <v>17</v>
      </c>
      <c r="H23" s="13" t="s">
        <v>18</v>
      </c>
      <c r="I23" s="13" t="s">
        <v>49</v>
      </c>
      <c r="J23" s="13">
        <v>8</v>
      </c>
      <c r="K23" s="13" t="s">
        <v>20</v>
      </c>
      <c r="L23" s="13">
        <v>10</v>
      </c>
      <c r="M23" s="13">
        <v>6</v>
      </c>
      <c r="N23" s="13">
        <v>9</v>
      </c>
      <c r="O23" s="13" t="s">
        <v>94</v>
      </c>
      <c r="P23" s="13">
        <v>7</v>
      </c>
      <c r="Q23" s="13" t="s">
        <v>22</v>
      </c>
      <c r="R23" s="13" t="s">
        <v>38</v>
      </c>
      <c r="S23" s="13">
        <v>10</v>
      </c>
      <c r="T23" s="13" t="s">
        <v>73</v>
      </c>
      <c r="U23" s="13" t="s">
        <v>54</v>
      </c>
      <c r="V23" s="13">
        <v>10</v>
      </c>
      <c r="W23" s="13" t="s">
        <v>127</v>
      </c>
    </row>
    <row r="24" spans="1:23" ht="18.95" customHeight="1">
      <c r="A24" s="7">
        <v>23</v>
      </c>
      <c r="B24" s="8">
        <v>1973</v>
      </c>
      <c r="C24" s="9" t="s">
        <v>13</v>
      </c>
      <c r="D24" s="10" t="s">
        <v>89</v>
      </c>
      <c r="E24" s="10" t="s">
        <v>90</v>
      </c>
      <c r="F24" s="10" t="s">
        <v>57</v>
      </c>
      <c r="G24" s="10" t="s">
        <v>17</v>
      </c>
      <c r="H24" s="10" t="s">
        <v>18</v>
      </c>
      <c r="I24" s="10" t="s">
        <v>49</v>
      </c>
      <c r="J24" s="10">
        <v>6</v>
      </c>
      <c r="K24" s="10" t="s">
        <v>20</v>
      </c>
      <c r="L24" s="10">
        <v>10</v>
      </c>
      <c r="M24" s="10">
        <v>10</v>
      </c>
      <c r="N24" s="10">
        <v>9</v>
      </c>
      <c r="O24" s="10" t="s">
        <v>21</v>
      </c>
      <c r="P24" s="10">
        <v>5</v>
      </c>
      <c r="Q24" s="10" t="s">
        <v>22</v>
      </c>
      <c r="R24" s="10" t="s">
        <v>23</v>
      </c>
      <c r="S24" s="10">
        <v>10</v>
      </c>
      <c r="T24" s="10" t="s">
        <v>129</v>
      </c>
      <c r="U24" s="10" t="s">
        <v>97</v>
      </c>
      <c r="V24" s="10">
        <v>9</v>
      </c>
      <c r="W24" s="11" t="s">
        <v>128</v>
      </c>
    </row>
    <row r="25" spans="1:23" ht="18.95" customHeight="1">
      <c r="A25" s="7">
        <v>24</v>
      </c>
      <c r="B25" s="12">
        <v>1973</v>
      </c>
      <c r="C25" s="9" t="s">
        <v>13</v>
      </c>
      <c r="D25" s="13" t="s">
        <v>130</v>
      </c>
      <c r="E25" s="13" t="s">
        <v>36</v>
      </c>
      <c r="F25" s="13" t="s">
        <v>57</v>
      </c>
      <c r="G25" s="13" t="s">
        <v>47</v>
      </c>
      <c r="H25" s="13" t="s">
        <v>18</v>
      </c>
      <c r="I25" s="13" t="s">
        <v>19</v>
      </c>
      <c r="J25" s="13">
        <v>9</v>
      </c>
      <c r="K25" s="13" t="s">
        <v>20</v>
      </c>
      <c r="L25" s="13">
        <v>10</v>
      </c>
      <c r="M25" s="13">
        <v>6</v>
      </c>
      <c r="N25" s="13">
        <v>10</v>
      </c>
      <c r="O25" s="13" t="s">
        <v>21</v>
      </c>
      <c r="P25" s="13">
        <v>10</v>
      </c>
      <c r="Q25" s="13" t="s">
        <v>64</v>
      </c>
      <c r="R25" s="13" t="s">
        <v>45</v>
      </c>
      <c r="S25" s="13">
        <v>1</v>
      </c>
      <c r="T25" s="13" t="s">
        <v>34</v>
      </c>
      <c r="U25" s="13" t="s">
        <v>97</v>
      </c>
      <c r="V25" s="13">
        <v>10</v>
      </c>
      <c r="W25" s="13" t="s">
        <v>131</v>
      </c>
    </row>
    <row r="26" spans="1:23" ht="18.95" customHeight="1">
      <c r="A26" s="7">
        <v>25</v>
      </c>
      <c r="B26" s="8">
        <v>1974</v>
      </c>
      <c r="C26" s="9" t="s">
        <v>13</v>
      </c>
      <c r="D26" s="10" t="s">
        <v>98</v>
      </c>
      <c r="E26" s="10" t="s">
        <v>15</v>
      </c>
      <c r="F26" s="10" t="s">
        <v>16</v>
      </c>
      <c r="G26" s="10" t="s">
        <v>17</v>
      </c>
      <c r="H26" s="10" t="s">
        <v>18</v>
      </c>
      <c r="I26" s="10" t="s">
        <v>81</v>
      </c>
      <c r="J26" s="10">
        <v>8</v>
      </c>
      <c r="K26" s="10" t="s">
        <v>20</v>
      </c>
      <c r="L26" s="10">
        <v>8</v>
      </c>
      <c r="M26" s="10">
        <v>5</v>
      </c>
      <c r="N26" s="10">
        <v>3</v>
      </c>
      <c r="O26" s="10" t="s">
        <v>21</v>
      </c>
      <c r="P26" s="10">
        <v>8</v>
      </c>
      <c r="Q26" s="10" t="s">
        <v>22</v>
      </c>
      <c r="R26" s="10" t="s">
        <v>29</v>
      </c>
      <c r="S26" s="10">
        <v>9</v>
      </c>
      <c r="T26" s="10" t="s">
        <v>34</v>
      </c>
      <c r="U26" s="10" t="s">
        <v>26</v>
      </c>
      <c r="V26" s="10">
        <v>9</v>
      </c>
      <c r="W26" s="11" t="s">
        <v>135</v>
      </c>
    </row>
    <row r="27" spans="1:23" ht="18.95" customHeight="1">
      <c r="A27" s="7">
        <v>26</v>
      </c>
      <c r="B27" s="12">
        <v>1974</v>
      </c>
      <c r="C27" s="9" t="s">
        <v>13</v>
      </c>
      <c r="D27" s="13" t="s">
        <v>133</v>
      </c>
      <c r="E27" s="13" t="s">
        <v>15</v>
      </c>
      <c r="F27" s="13" t="s">
        <v>57</v>
      </c>
      <c r="G27" s="13" t="s">
        <v>17</v>
      </c>
      <c r="H27" s="13" t="s">
        <v>18</v>
      </c>
      <c r="I27" s="13" t="s">
        <v>81</v>
      </c>
      <c r="J27" s="13">
        <v>9</v>
      </c>
      <c r="K27" s="13" t="s">
        <v>20</v>
      </c>
      <c r="L27" s="13">
        <v>10</v>
      </c>
      <c r="M27" s="13">
        <v>9</v>
      </c>
      <c r="N27" s="13">
        <v>9</v>
      </c>
      <c r="O27" s="13" t="s">
        <v>94</v>
      </c>
      <c r="P27" s="13">
        <v>5</v>
      </c>
      <c r="Q27" s="13" t="s">
        <v>22</v>
      </c>
      <c r="R27" s="13" t="s">
        <v>38</v>
      </c>
      <c r="S27" s="13">
        <v>10</v>
      </c>
      <c r="T27" s="13" t="s">
        <v>73</v>
      </c>
      <c r="U27" s="13" t="s">
        <v>97</v>
      </c>
      <c r="V27" s="13">
        <v>9</v>
      </c>
      <c r="W27" s="14" t="s">
        <v>136</v>
      </c>
    </row>
    <row r="28" spans="1:23" ht="18.95" customHeight="1">
      <c r="A28" s="7">
        <v>27</v>
      </c>
      <c r="B28" s="8">
        <v>1974</v>
      </c>
      <c r="C28" s="9" t="s">
        <v>13</v>
      </c>
      <c r="D28" s="10" t="s">
        <v>137</v>
      </c>
      <c r="E28" s="10" t="s">
        <v>42</v>
      </c>
      <c r="F28" s="10" t="s">
        <v>57</v>
      </c>
      <c r="G28" s="10" t="s">
        <v>17</v>
      </c>
      <c r="H28" s="10" t="s">
        <v>18</v>
      </c>
      <c r="I28" s="10" t="s">
        <v>76</v>
      </c>
      <c r="J28" s="10">
        <v>8</v>
      </c>
      <c r="K28" s="10" t="s">
        <v>20</v>
      </c>
      <c r="L28" s="10">
        <v>10</v>
      </c>
      <c r="M28" s="10">
        <v>8</v>
      </c>
      <c r="N28" s="10">
        <v>10</v>
      </c>
      <c r="O28" s="10" t="s">
        <v>21</v>
      </c>
      <c r="P28" s="10">
        <v>4</v>
      </c>
      <c r="Q28" s="10" t="s">
        <v>59</v>
      </c>
      <c r="R28" s="10" t="s">
        <v>38</v>
      </c>
      <c r="S28" s="10">
        <v>10</v>
      </c>
      <c r="T28" s="10" t="s">
        <v>73</v>
      </c>
      <c r="U28" s="10" t="s">
        <v>26</v>
      </c>
      <c r="V28" s="10">
        <v>10</v>
      </c>
      <c r="W28" s="11" t="s">
        <v>138</v>
      </c>
    </row>
    <row r="29" spans="1:23" ht="18.95" customHeight="1">
      <c r="A29" s="7">
        <v>28</v>
      </c>
      <c r="B29" s="12">
        <v>1974</v>
      </c>
      <c r="C29" s="9" t="s">
        <v>13</v>
      </c>
      <c r="D29" s="13" t="s">
        <v>27</v>
      </c>
      <c r="E29" s="13" t="s">
        <v>28</v>
      </c>
      <c r="F29" s="13" t="s">
        <v>57</v>
      </c>
      <c r="G29" s="13" t="s">
        <v>47</v>
      </c>
      <c r="H29" s="13" t="s">
        <v>18</v>
      </c>
      <c r="I29" s="13" t="s">
        <v>19</v>
      </c>
      <c r="J29" s="13">
        <v>8</v>
      </c>
      <c r="K29" s="13" t="s">
        <v>20</v>
      </c>
      <c r="L29" s="13">
        <v>8</v>
      </c>
      <c r="M29" s="13">
        <v>7</v>
      </c>
      <c r="N29" s="13">
        <v>7</v>
      </c>
      <c r="O29" s="13" t="s">
        <v>21</v>
      </c>
      <c r="P29" s="13">
        <v>10</v>
      </c>
      <c r="Q29" s="13" t="s">
        <v>64</v>
      </c>
      <c r="R29" s="13" t="s">
        <v>45</v>
      </c>
      <c r="S29" s="13">
        <v>10</v>
      </c>
      <c r="T29" s="13" t="s">
        <v>53</v>
      </c>
      <c r="U29" s="13" t="s">
        <v>140</v>
      </c>
      <c r="V29" s="13">
        <v>8</v>
      </c>
      <c r="W29" s="13" t="s">
        <v>139</v>
      </c>
    </row>
    <row r="30" spans="1:23" ht="18.95" customHeight="1">
      <c r="A30" s="7">
        <v>29</v>
      </c>
      <c r="B30" s="8">
        <v>1975</v>
      </c>
      <c r="C30" s="9" t="s">
        <v>13</v>
      </c>
      <c r="D30" s="10" t="s">
        <v>141</v>
      </c>
      <c r="E30" s="10" t="s">
        <v>87</v>
      </c>
      <c r="F30" s="10" t="s">
        <v>57</v>
      </c>
      <c r="G30" s="10" t="s">
        <v>17</v>
      </c>
      <c r="H30" s="10" t="s">
        <v>18</v>
      </c>
      <c r="I30" s="10" t="s">
        <v>81</v>
      </c>
      <c r="J30" s="10">
        <v>8</v>
      </c>
      <c r="K30" s="10" t="s">
        <v>20</v>
      </c>
      <c r="L30" s="10">
        <v>10</v>
      </c>
      <c r="M30" s="10">
        <v>7</v>
      </c>
      <c r="N30" s="10">
        <v>10</v>
      </c>
      <c r="O30" s="10" t="s">
        <v>21</v>
      </c>
      <c r="P30" s="10">
        <v>8</v>
      </c>
      <c r="Q30" s="10" t="s">
        <v>22</v>
      </c>
      <c r="R30" s="10" t="s">
        <v>142</v>
      </c>
      <c r="S30" s="10">
        <v>10</v>
      </c>
      <c r="T30" s="10" t="s">
        <v>34</v>
      </c>
      <c r="U30" s="10" t="s">
        <v>54</v>
      </c>
      <c r="V30" s="10">
        <v>10</v>
      </c>
      <c r="W30" s="11" t="s">
        <v>143</v>
      </c>
    </row>
    <row r="31" spans="1:23" ht="18.95" customHeight="1">
      <c r="A31" s="7">
        <v>30</v>
      </c>
      <c r="B31" s="12">
        <v>1975</v>
      </c>
      <c r="C31" s="9" t="s">
        <v>13</v>
      </c>
      <c r="D31" s="13" t="s">
        <v>114</v>
      </c>
      <c r="E31" s="13" t="s">
        <v>56</v>
      </c>
      <c r="F31" s="13" t="s">
        <v>57</v>
      </c>
      <c r="G31" s="13" t="s">
        <v>17</v>
      </c>
      <c r="H31" s="13" t="s">
        <v>48</v>
      </c>
      <c r="I31" s="13" t="s">
        <v>49</v>
      </c>
      <c r="J31" s="13">
        <v>9</v>
      </c>
      <c r="K31" s="13" t="s">
        <v>20</v>
      </c>
      <c r="L31" s="13">
        <v>9</v>
      </c>
      <c r="M31" s="13">
        <v>9</v>
      </c>
      <c r="N31" s="13">
        <v>8</v>
      </c>
      <c r="O31" s="13" t="s">
        <v>21</v>
      </c>
      <c r="P31" s="13">
        <v>8</v>
      </c>
      <c r="Q31" s="13" t="s">
        <v>22</v>
      </c>
      <c r="R31" s="13" t="s">
        <v>144</v>
      </c>
      <c r="S31" s="13">
        <v>10</v>
      </c>
      <c r="T31" s="13" t="s">
        <v>146</v>
      </c>
      <c r="U31" s="13" t="s">
        <v>54</v>
      </c>
      <c r="V31" s="13">
        <v>9</v>
      </c>
      <c r="W31" s="14" t="s">
        <v>145</v>
      </c>
    </row>
    <row r="32" spans="1:23" ht="18.95" customHeight="1">
      <c r="A32" s="7">
        <v>31</v>
      </c>
      <c r="B32" s="8">
        <v>1975</v>
      </c>
      <c r="C32" s="9" t="s">
        <v>13</v>
      </c>
      <c r="D32" s="10" t="s">
        <v>147</v>
      </c>
      <c r="E32" s="10" t="s">
        <v>36</v>
      </c>
      <c r="F32" s="10" t="s">
        <v>16</v>
      </c>
      <c r="G32" s="10" t="s">
        <v>17</v>
      </c>
      <c r="H32" s="10" t="s">
        <v>18</v>
      </c>
      <c r="I32" s="10" t="s">
        <v>81</v>
      </c>
      <c r="J32" s="10">
        <v>2</v>
      </c>
      <c r="K32" s="10" t="s">
        <v>20</v>
      </c>
      <c r="L32" s="10">
        <v>10</v>
      </c>
      <c r="M32" s="10">
        <v>10</v>
      </c>
      <c r="N32" s="10">
        <v>10</v>
      </c>
      <c r="O32" s="10" t="s">
        <v>21</v>
      </c>
      <c r="P32" s="10">
        <v>2</v>
      </c>
      <c r="Q32" s="10" t="s">
        <v>22</v>
      </c>
      <c r="R32" s="10" t="s">
        <v>29</v>
      </c>
      <c r="S32" s="10">
        <v>10</v>
      </c>
      <c r="T32" s="10" t="s">
        <v>34</v>
      </c>
      <c r="U32" s="10" t="s">
        <v>54</v>
      </c>
      <c r="V32" s="10">
        <v>10</v>
      </c>
      <c r="W32" s="11" t="s">
        <v>148</v>
      </c>
    </row>
    <row r="33" spans="1:23" ht="18.95" customHeight="1">
      <c r="A33" s="7">
        <v>32</v>
      </c>
      <c r="B33" s="12">
        <v>1975</v>
      </c>
      <c r="C33" s="9" t="s">
        <v>13</v>
      </c>
      <c r="D33" s="13" t="s">
        <v>147</v>
      </c>
      <c r="E33" s="13" t="s">
        <v>36</v>
      </c>
      <c r="F33" s="13" t="s">
        <v>16</v>
      </c>
      <c r="G33" s="13" t="s">
        <v>17</v>
      </c>
      <c r="H33" s="13" t="s">
        <v>18</v>
      </c>
      <c r="I33" s="13" t="s">
        <v>81</v>
      </c>
      <c r="J33" s="13">
        <v>2</v>
      </c>
      <c r="K33" s="13" t="s">
        <v>32</v>
      </c>
      <c r="L33" s="13">
        <v>5</v>
      </c>
      <c r="M33" s="13">
        <v>10</v>
      </c>
      <c r="N33" s="13">
        <v>8</v>
      </c>
      <c r="O33" s="13" t="s">
        <v>94</v>
      </c>
      <c r="P33" s="13">
        <v>4</v>
      </c>
      <c r="Q33" s="13" t="s">
        <v>22</v>
      </c>
      <c r="R33" s="13" t="s">
        <v>29</v>
      </c>
      <c r="S33" s="13">
        <v>9</v>
      </c>
      <c r="T33" s="13" t="s">
        <v>34</v>
      </c>
      <c r="U33" s="13" t="s">
        <v>26</v>
      </c>
      <c r="V33" s="13">
        <v>9</v>
      </c>
      <c r="W33" s="14" t="s">
        <v>149</v>
      </c>
    </row>
    <row r="34" spans="1:23" ht="18.95" customHeight="1">
      <c r="A34" s="7">
        <v>33</v>
      </c>
      <c r="B34" s="8">
        <v>1975</v>
      </c>
      <c r="C34" s="9" t="s">
        <v>13</v>
      </c>
      <c r="D34" s="10" t="s">
        <v>147</v>
      </c>
      <c r="E34" s="10" t="s">
        <v>36</v>
      </c>
      <c r="F34" s="10" t="s">
        <v>16</v>
      </c>
      <c r="G34" s="10" t="s">
        <v>17</v>
      </c>
      <c r="H34" s="10" t="s">
        <v>18</v>
      </c>
      <c r="I34" s="10" t="s">
        <v>49</v>
      </c>
      <c r="J34" s="10">
        <v>8</v>
      </c>
      <c r="K34" s="10" t="s">
        <v>20</v>
      </c>
      <c r="L34" s="10">
        <v>8</v>
      </c>
      <c r="M34" s="10">
        <v>9</v>
      </c>
      <c r="N34" s="10">
        <v>9</v>
      </c>
      <c r="O34" s="10" t="s">
        <v>21</v>
      </c>
      <c r="P34" s="10">
        <v>5</v>
      </c>
      <c r="Q34" s="10" t="s">
        <v>125</v>
      </c>
      <c r="R34" s="10" t="s">
        <v>29</v>
      </c>
      <c r="S34" s="10">
        <v>8</v>
      </c>
      <c r="T34" s="10" t="s">
        <v>25</v>
      </c>
      <c r="U34" s="10" t="s">
        <v>26</v>
      </c>
      <c r="V34" s="10">
        <v>9</v>
      </c>
      <c r="W34" s="11" t="s">
        <v>150</v>
      </c>
    </row>
    <row r="35" spans="1:23" ht="18.95" customHeight="1">
      <c r="A35" s="7">
        <v>34</v>
      </c>
      <c r="B35" s="12">
        <v>1975</v>
      </c>
      <c r="C35" s="9" t="s">
        <v>13</v>
      </c>
      <c r="D35" s="13" t="s">
        <v>147</v>
      </c>
      <c r="E35" s="13" t="s">
        <v>36</v>
      </c>
      <c r="F35" s="13" t="s">
        <v>16</v>
      </c>
      <c r="G35" s="13" t="s">
        <v>17</v>
      </c>
      <c r="H35" s="13" t="s">
        <v>18</v>
      </c>
      <c r="I35" s="13" t="s">
        <v>151</v>
      </c>
      <c r="J35" s="13">
        <v>7</v>
      </c>
      <c r="K35" s="13" t="s">
        <v>85</v>
      </c>
      <c r="L35" s="13">
        <v>8</v>
      </c>
      <c r="M35" s="13">
        <v>10</v>
      </c>
      <c r="N35" s="13">
        <v>3</v>
      </c>
      <c r="O35" s="13" t="s">
        <v>21</v>
      </c>
      <c r="P35" s="13">
        <v>8</v>
      </c>
      <c r="Q35" s="13" t="s">
        <v>59</v>
      </c>
      <c r="R35" s="13" t="s">
        <v>117</v>
      </c>
      <c r="S35" s="13">
        <v>3</v>
      </c>
      <c r="T35" s="13" t="s">
        <v>153</v>
      </c>
      <c r="U35" s="13" t="s">
        <v>140</v>
      </c>
      <c r="V35" s="13">
        <v>7</v>
      </c>
      <c r="W35" s="14" t="s">
        <v>152</v>
      </c>
    </row>
    <row r="36" spans="1:23" ht="18.95" customHeight="1">
      <c r="A36" s="7">
        <v>35</v>
      </c>
      <c r="B36" s="8">
        <v>1975</v>
      </c>
      <c r="C36" s="9" t="s">
        <v>13</v>
      </c>
      <c r="D36" s="10" t="s">
        <v>89</v>
      </c>
      <c r="E36" s="10" t="s">
        <v>90</v>
      </c>
      <c r="F36" s="10" t="s">
        <v>57</v>
      </c>
      <c r="G36" s="10" t="s">
        <v>17</v>
      </c>
      <c r="H36" s="10" t="s">
        <v>18</v>
      </c>
      <c r="I36" s="10" t="s">
        <v>31</v>
      </c>
      <c r="J36" s="10">
        <v>8</v>
      </c>
      <c r="K36" s="10" t="s">
        <v>20</v>
      </c>
      <c r="L36" s="10">
        <v>9</v>
      </c>
      <c r="M36" s="10">
        <v>10</v>
      </c>
      <c r="N36" s="10">
        <v>9</v>
      </c>
      <c r="O36" s="10" t="s">
        <v>21</v>
      </c>
      <c r="P36" s="10">
        <v>7</v>
      </c>
      <c r="Q36" s="10" t="s">
        <v>37</v>
      </c>
      <c r="R36" s="10" t="s">
        <v>112</v>
      </c>
      <c r="S36" s="10">
        <v>10</v>
      </c>
      <c r="T36" s="10" t="s">
        <v>34</v>
      </c>
      <c r="U36" s="10" t="s">
        <v>26</v>
      </c>
      <c r="V36" s="10">
        <v>8</v>
      </c>
      <c r="W36" s="11" t="s">
        <v>154</v>
      </c>
    </row>
    <row r="37" spans="1:23" ht="18.95" customHeight="1">
      <c r="A37" s="7">
        <v>36</v>
      </c>
      <c r="B37" s="12">
        <v>1975</v>
      </c>
      <c r="C37" s="9" t="s">
        <v>13</v>
      </c>
      <c r="D37" s="13" t="s">
        <v>41</v>
      </c>
      <c r="E37" s="13" t="s">
        <v>42</v>
      </c>
      <c r="F37" s="13" t="s">
        <v>16</v>
      </c>
      <c r="G37" s="13" t="s">
        <v>17</v>
      </c>
      <c r="H37" s="13" t="s">
        <v>18</v>
      </c>
      <c r="I37" s="13" t="s">
        <v>81</v>
      </c>
      <c r="J37" s="13">
        <v>5</v>
      </c>
      <c r="K37" s="13" t="s">
        <v>20</v>
      </c>
      <c r="L37" s="13">
        <v>9</v>
      </c>
      <c r="M37" s="13">
        <v>9</v>
      </c>
      <c r="N37" s="13">
        <v>10</v>
      </c>
      <c r="O37" s="13" t="s">
        <v>21</v>
      </c>
      <c r="P37" s="13">
        <v>5</v>
      </c>
      <c r="Q37" s="13" t="s">
        <v>22</v>
      </c>
      <c r="R37" s="13" t="s">
        <v>29</v>
      </c>
      <c r="S37" s="13">
        <v>10</v>
      </c>
      <c r="T37" s="13" t="s">
        <v>34</v>
      </c>
      <c r="U37" s="13" t="s">
        <v>97</v>
      </c>
      <c r="V37" s="13">
        <v>9</v>
      </c>
      <c r="W37" s="13" t="s">
        <v>155</v>
      </c>
    </row>
    <row r="38" spans="1:23" ht="18.95" customHeight="1">
      <c r="A38" s="7">
        <v>37</v>
      </c>
      <c r="B38" s="8">
        <v>1975</v>
      </c>
      <c r="C38" s="9" t="s">
        <v>13</v>
      </c>
      <c r="D38" s="10" t="s">
        <v>156</v>
      </c>
      <c r="E38" s="10" t="s">
        <v>28</v>
      </c>
      <c r="F38" s="10" t="s">
        <v>16</v>
      </c>
      <c r="G38" s="10" t="s">
        <v>17</v>
      </c>
      <c r="H38" s="10" t="s">
        <v>18</v>
      </c>
      <c r="I38" s="10" t="s">
        <v>81</v>
      </c>
      <c r="J38" s="10">
        <v>5</v>
      </c>
      <c r="K38" s="10" t="s">
        <v>20</v>
      </c>
      <c r="L38" s="10">
        <v>7</v>
      </c>
      <c r="M38" s="10">
        <v>7</v>
      </c>
      <c r="N38" s="10">
        <v>6</v>
      </c>
      <c r="O38" s="10" t="s">
        <v>21</v>
      </c>
      <c r="P38" s="10">
        <v>4</v>
      </c>
      <c r="Q38" s="10" t="s">
        <v>22</v>
      </c>
      <c r="R38" s="10" t="s">
        <v>38</v>
      </c>
      <c r="S38" s="10">
        <v>5</v>
      </c>
      <c r="T38" s="10" t="s">
        <v>34</v>
      </c>
      <c r="U38" s="10" t="s">
        <v>26</v>
      </c>
      <c r="V38" s="10">
        <v>7</v>
      </c>
      <c r="W38" s="10" t="s">
        <v>157</v>
      </c>
    </row>
    <row r="39" spans="1:23" ht="18.95" customHeight="1">
      <c r="A39" s="7">
        <v>38</v>
      </c>
      <c r="B39" s="12">
        <v>1975</v>
      </c>
      <c r="C39" s="9" t="s">
        <v>13</v>
      </c>
      <c r="D39" s="13" t="s">
        <v>46</v>
      </c>
      <c r="E39" s="13" t="s">
        <v>36</v>
      </c>
      <c r="F39" s="13" t="s">
        <v>16</v>
      </c>
      <c r="G39" s="13" t="s">
        <v>17</v>
      </c>
      <c r="H39" s="13" t="s">
        <v>18</v>
      </c>
      <c r="I39" s="13" t="s">
        <v>49</v>
      </c>
      <c r="J39" s="13">
        <v>10</v>
      </c>
      <c r="K39" s="13" t="s">
        <v>20</v>
      </c>
      <c r="L39" s="13">
        <v>10</v>
      </c>
      <c r="M39" s="13">
        <v>10</v>
      </c>
      <c r="N39" s="13">
        <v>10</v>
      </c>
      <c r="O39" s="13" t="s">
        <v>21</v>
      </c>
      <c r="P39" s="13">
        <v>10</v>
      </c>
      <c r="Q39" s="13" t="s">
        <v>22</v>
      </c>
      <c r="R39" s="13" t="s">
        <v>45</v>
      </c>
      <c r="S39" s="13">
        <v>10</v>
      </c>
      <c r="T39" s="13" t="s">
        <v>73</v>
      </c>
      <c r="U39" s="13" t="s">
        <v>140</v>
      </c>
      <c r="V39" s="13">
        <v>10</v>
      </c>
      <c r="W39" s="13" t="s">
        <v>158</v>
      </c>
    </row>
    <row r="40" spans="1:23" ht="18.95" customHeight="1">
      <c r="A40" s="7">
        <v>39</v>
      </c>
      <c r="B40" s="8">
        <v>1975</v>
      </c>
      <c r="C40" s="9" t="s">
        <v>13</v>
      </c>
      <c r="D40" s="10" t="s">
        <v>27</v>
      </c>
      <c r="E40" s="10" t="s">
        <v>28</v>
      </c>
      <c r="F40" s="10" t="s">
        <v>16</v>
      </c>
      <c r="G40" s="10" t="s">
        <v>159</v>
      </c>
      <c r="H40" s="10" t="s">
        <v>18</v>
      </c>
      <c r="I40" s="10" t="s">
        <v>31</v>
      </c>
      <c r="J40" s="10">
        <v>9</v>
      </c>
      <c r="K40" s="10" t="s">
        <v>20</v>
      </c>
      <c r="L40" s="10">
        <v>9</v>
      </c>
      <c r="M40" s="10">
        <v>7</v>
      </c>
      <c r="N40" s="10">
        <v>8</v>
      </c>
      <c r="O40" s="10" t="s">
        <v>21</v>
      </c>
      <c r="P40" s="10">
        <v>9</v>
      </c>
      <c r="Q40" s="10" t="s">
        <v>22</v>
      </c>
      <c r="R40" s="10" t="s">
        <v>160</v>
      </c>
      <c r="S40" s="10">
        <v>8</v>
      </c>
      <c r="T40" s="10" t="s">
        <v>153</v>
      </c>
      <c r="U40" s="10" t="s">
        <v>26</v>
      </c>
      <c r="V40" s="10">
        <v>9</v>
      </c>
      <c r="W40" s="10" t="s">
        <v>161</v>
      </c>
    </row>
    <row r="41" spans="1:23" ht="18.95" customHeight="1">
      <c r="A41" s="7">
        <v>40</v>
      </c>
      <c r="B41" s="12">
        <v>1976</v>
      </c>
      <c r="C41" s="9" t="s">
        <v>13</v>
      </c>
      <c r="D41" s="13" t="s">
        <v>98</v>
      </c>
      <c r="E41" s="13" t="s">
        <v>15</v>
      </c>
      <c r="F41" s="13" t="s">
        <v>16</v>
      </c>
      <c r="G41" s="13" t="s">
        <v>17</v>
      </c>
      <c r="H41" s="13" t="s">
        <v>18</v>
      </c>
      <c r="I41" s="13" t="s">
        <v>163</v>
      </c>
      <c r="J41" s="13">
        <v>8</v>
      </c>
      <c r="K41" s="13" t="s">
        <v>93</v>
      </c>
      <c r="L41" s="13">
        <v>7</v>
      </c>
      <c r="M41" s="13">
        <v>5</v>
      </c>
      <c r="N41" s="13">
        <v>2</v>
      </c>
      <c r="O41" s="13" t="s">
        <v>21</v>
      </c>
      <c r="P41" s="13">
        <v>6</v>
      </c>
      <c r="Q41" s="13" t="s">
        <v>164</v>
      </c>
      <c r="R41" s="13" t="s">
        <v>51</v>
      </c>
      <c r="S41" s="13">
        <v>9</v>
      </c>
      <c r="T41" s="13" t="s">
        <v>34</v>
      </c>
      <c r="U41" s="13" t="s">
        <v>62</v>
      </c>
      <c r="V41" s="13">
        <v>6</v>
      </c>
      <c r="W41" s="14" t="s">
        <v>165</v>
      </c>
    </row>
    <row r="42" spans="1:23" ht="18.95" customHeight="1">
      <c r="A42" s="7">
        <v>41</v>
      </c>
      <c r="B42" s="8">
        <v>1976</v>
      </c>
      <c r="C42" s="9" t="s">
        <v>13</v>
      </c>
      <c r="D42" s="10" t="s">
        <v>166</v>
      </c>
      <c r="E42" s="10" t="s">
        <v>56</v>
      </c>
      <c r="F42" s="10" t="s">
        <v>57</v>
      </c>
      <c r="G42" s="10" t="s">
        <v>17</v>
      </c>
      <c r="H42" s="10" t="s">
        <v>18</v>
      </c>
      <c r="I42" s="10" t="s">
        <v>31</v>
      </c>
      <c r="J42" s="10">
        <v>8</v>
      </c>
      <c r="K42" s="10" t="s">
        <v>20</v>
      </c>
      <c r="L42" s="10">
        <v>9</v>
      </c>
      <c r="M42" s="10">
        <v>10</v>
      </c>
      <c r="N42" s="10">
        <v>10</v>
      </c>
      <c r="O42" s="10" t="s">
        <v>94</v>
      </c>
      <c r="P42" s="10">
        <v>9</v>
      </c>
      <c r="Q42" s="10" t="s">
        <v>22</v>
      </c>
      <c r="R42" s="10" t="s">
        <v>23</v>
      </c>
      <c r="S42" s="10">
        <v>10</v>
      </c>
      <c r="T42" s="10" t="s">
        <v>34</v>
      </c>
      <c r="U42" s="10" t="s">
        <v>26</v>
      </c>
      <c r="V42" s="10">
        <v>9</v>
      </c>
      <c r="W42" s="11" t="s">
        <v>167</v>
      </c>
    </row>
    <row r="43" spans="1:23" ht="18.95" customHeight="1">
      <c r="A43" s="7">
        <v>42</v>
      </c>
      <c r="B43" s="12">
        <v>1976</v>
      </c>
      <c r="C43" s="9" t="s">
        <v>13</v>
      </c>
      <c r="D43" s="13" t="s">
        <v>168</v>
      </c>
      <c r="E43" s="13" t="s">
        <v>15</v>
      </c>
      <c r="F43" s="13" t="s">
        <v>57</v>
      </c>
      <c r="G43" s="13" t="s">
        <v>17</v>
      </c>
      <c r="H43" s="13" t="s">
        <v>18</v>
      </c>
      <c r="I43" s="13" t="s">
        <v>81</v>
      </c>
      <c r="J43" s="13">
        <v>7</v>
      </c>
      <c r="K43" s="13" t="s">
        <v>20</v>
      </c>
      <c r="L43" s="13">
        <v>9</v>
      </c>
      <c r="M43" s="13">
        <v>1</v>
      </c>
      <c r="N43" s="13">
        <v>8</v>
      </c>
      <c r="O43" s="13" t="s">
        <v>21</v>
      </c>
      <c r="P43" s="13">
        <v>7</v>
      </c>
      <c r="Q43" s="13" t="s">
        <v>22</v>
      </c>
      <c r="R43" s="13" t="s">
        <v>29</v>
      </c>
      <c r="S43" s="13">
        <v>9</v>
      </c>
      <c r="T43" s="13" t="s">
        <v>34</v>
      </c>
      <c r="U43" s="13" t="s">
        <v>26</v>
      </c>
      <c r="V43" s="13">
        <v>9</v>
      </c>
      <c r="W43" s="14" t="s">
        <v>169</v>
      </c>
    </row>
    <row r="44" spans="1:23" ht="18.95" customHeight="1">
      <c r="A44" s="7">
        <v>43</v>
      </c>
      <c r="B44" s="8">
        <v>1976</v>
      </c>
      <c r="C44" s="9" t="s">
        <v>13</v>
      </c>
      <c r="D44" s="10" t="s">
        <v>132</v>
      </c>
      <c r="E44" s="10" t="s">
        <v>90</v>
      </c>
      <c r="F44" s="10" t="s">
        <v>16</v>
      </c>
      <c r="G44" s="10" t="s">
        <v>17</v>
      </c>
      <c r="H44" s="10" t="s">
        <v>18</v>
      </c>
      <c r="I44" s="10" t="s">
        <v>170</v>
      </c>
      <c r="J44" s="10">
        <v>3</v>
      </c>
      <c r="K44" s="10" t="s">
        <v>32</v>
      </c>
      <c r="L44" s="10">
        <v>8</v>
      </c>
      <c r="M44" s="10">
        <v>8</v>
      </c>
      <c r="N44" s="10">
        <v>3</v>
      </c>
      <c r="O44" s="10" t="s">
        <v>21</v>
      </c>
      <c r="P44" s="10">
        <v>2</v>
      </c>
      <c r="Q44" s="10" t="s">
        <v>125</v>
      </c>
      <c r="R44" s="10" t="s">
        <v>112</v>
      </c>
      <c r="S44" s="10">
        <v>2</v>
      </c>
      <c r="T44" s="10" t="s">
        <v>34</v>
      </c>
      <c r="U44" s="10" t="s">
        <v>140</v>
      </c>
      <c r="V44" s="10">
        <v>7</v>
      </c>
      <c r="W44" s="11" t="s">
        <v>171</v>
      </c>
    </row>
    <row r="45" spans="1:23" ht="18.95" customHeight="1">
      <c r="A45" s="7">
        <v>44</v>
      </c>
      <c r="B45" s="12">
        <v>1976</v>
      </c>
      <c r="C45" s="9" t="s">
        <v>13</v>
      </c>
      <c r="D45" s="13" t="s">
        <v>89</v>
      </c>
      <c r="E45" s="13" t="s">
        <v>90</v>
      </c>
      <c r="F45" s="13" t="s">
        <v>57</v>
      </c>
      <c r="G45" s="13" t="s">
        <v>103</v>
      </c>
      <c r="H45" s="13" t="s">
        <v>18</v>
      </c>
      <c r="I45" s="13" t="s">
        <v>172</v>
      </c>
      <c r="J45" s="13">
        <v>5</v>
      </c>
      <c r="K45" s="13" t="s">
        <v>85</v>
      </c>
      <c r="L45" s="13">
        <v>10</v>
      </c>
      <c r="M45" s="13">
        <v>6</v>
      </c>
      <c r="N45" s="13">
        <v>7</v>
      </c>
      <c r="O45" s="13" t="s">
        <v>21</v>
      </c>
      <c r="P45" s="13">
        <v>8</v>
      </c>
      <c r="Q45" s="13" t="s">
        <v>173</v>
      </c>
      <c r="R45" s="13" t="s">
        <v>174</v>
      </c>
      <c r="S45" s="13">
        <v>8</v>
      </c>
      <c r="T45" s="13" t="s">
        <v>34</v>
      </c>
      <c r="U45" s="13" t="s">
        <v>140</v>
      </c>
      <c r="V45" s="13">
        <v>8</v>
      </c>
      <c r="W45" s="14" t="s">
        <v>175</v>
      </c>
    </row>
    <row r="46" spans="1:23" ht="18.95" customHeight="1">
      <c r="A46" s="7">
        <v>45</v>
      </c>
      <c r="B46" s="8">
        <v>1976</v>
      </c>
      <c r="C46" s="9" t="s">
        <v>13</v>
      </c>
      <c r="D46" s="10" t="s">
        <v>30</v>
      </c>
      <c r="E46" s="10" t="s">
        <v>15</v>
      </c>
      <c r="F46" s="10" t="s">
        <v>57</v>
      </c>
      <c r="G46" s="10" t="s">
        <v>17</v>
      </c>
      <c r="H46" s="10" t="s">
        <v>18</v>
      </c>
      <c r="I46" s="10" t="s">
        <v>49</v>
      </c>
      <c r="J46" s="10">
        <v>5</v>
      </c>
      <c r="K46" s="10" t="s">
        <v>20</v>
      </c>
      <c r="L46" s="10">
        <v>8</v>
      </c>
      <c r="M46" s="10">
        <v>1</v>
      </c>
      <c r="N46" s="10">
        <v>5</v>
      </c>
      <c r="O46" s="10" t="s">
        <v>21</v>
      </c>
      <c r="P46" s="10">
        <v>5</v>
      </c>
      <c r="Q46" s="10" t="s">
        <v>22</v>
      </c>
      <c r="R46" s="10" t="s">
        <v>29</v>
      </c>
      <c r="S46" s="10">
        <v>9</v>
      </c>
      <c r="T46" s="10" t="s">
        <v>73</v>
      </c>
      <c r="U46" s="10" t="s">
        <v>140</v>
      </c>
      <c r="V46" s="10">
        <v>8</v>
      </c>
      <c r="W46" s="11" t="s">
        <v>176</v>
      </c>
    </row>
    <row r="47" spans="1:23" ht="18.95" customHeight="1">
      <c r="A47" s="7">
        <v>46</v>
      </c>
      <c r="B47" s="12">
        <v>1976</v>
      </c>
      <c r="C47" s="9" t="s">
        <v>13</v>
      </c>
      <c r="D47" s="13" t="s">
        <v>119</v>
      </c>
      <c r="E47" s="13" t="s">
        <v>75</v>
      </c>
      <c r="F47" s="13" t="s">
        <v>57</v>
      </c>
      <c r="G47" s="13" t="s">
        <v>17</v>
      </c>
      <c r="H47" s="13" t="s">
        <v>18</v>
      </c>
      <c r="I47" s="13" t="s">
        <v>49</v>
      </c>
      <c r="J47" s="13">
        <v>9</v>
      </c>
      <c r="K47" s="13" t="s">
        <v>20</v>
      </c>
      <c r="L47" s="13">
        <v>9</v>
      </c>
      <c r="M47" s="13">
        <v>10</v>
      </c>
      <c r="N47" s="13">
        <v>9</v>
      </c>
      <c r="O47" s="13" t="s">
        <v>21</v>
      </c>
      <c r="P47" s="13">
        <v>8</v>
      </c>
      <c r="Q47" s="13" t="s">
        <v>22</v>
      </c>
      <c r="R47" s="13" t="s">
        <v>38</v>
      </c>
      <c r="S47" s="13">
        <v>8</v>
      </c>
      <c r="T47" s="13" t="s">
        <v>34</v>
      </c>
      <c r="U47" s="13" t="s">
        <v>26</v>
      </c>
      <c r="V47" s="13">
        <v>9</v>
      </c>
      <c r="W47" s="13" t="s">
        <v>177</v>
      </c>
    </row>
    <row r="48" spans="1:23" ht="18.95" customHeight="1">
      <c r="A48" s="7">
        <v>47</v>
      </c>
      <c r="B48" s="8">
        <v>1976</v>
      </c>
      <c r="C48" s="9" t="s">
        <v>13</v>
      </c>
      <c r="D48" s="10" t="s">
        <v>133</v>
      </c>
      <c r="E48" s="10" t="s">
        <v>15</v>
      </c>
      <c r="F48" s="10" t="s">
        <v>16</v>
      </c>
      <c r="G48" s="10" t="s">
        <v>17</v>
      </c>
      <c r="H48" s="10" t="s">
        <v>18</v>
      </c>
      <c r="I48" s="10" t="s">
        <v>81</v>
      </c>
      <c r="J48" s="10">
        <v>9</v>
      </c>
      <c r="K48" s="10" t="s">
        <v>20</v>
      </c>
      <c r="L48" s="10">
        <v>10</v>
      </c>
      <c r="M48" s="10">
        <v>2</v>
      </c>
      <c r="N48" s="10">
        <v>8</v>
      </c>
      <c r="O48" s="10" t="s">
        <v>21</v>
      </c>
      <c r="P48" s="10">
        <v>9</v>
      </c>
      <c r="Q48" s="10" t="s">
        <v>59</v>
      </c>
      <c r="R48" s="10" t="s">
        <v>178</v>
      </c>
      <c r="S48" s="10">
        <v>10</v>
      </c>
      <c r="T48" s="10" t="s">
        <v>124</v>
      </c>
      <c r="U48" s="10" t="s">
        <v>26</v>
      </c>
      <c r="V48" s="10">
        <v>9</v>
      </c>
      <c r="W48" s="10" t="s">
        <v>179</v>
      </c>
    </row>
    <row r="49" spans="1:23" ht="18.95" customHeight="1">
      <c r="A49" s="7">
        <v>48</v>
      </c>
      <c r="B49" s="12">
        <v>1976</v>
      </c>
      <c r="C49" s="9" t="s">
        <v>13</v>
      </c>
      <c r="D49" s="13" t="s">
        <v>41</v>
      </c>
      <c r="E49" s="13" t="s">
        <v>42</v>
      </c>
      <c r="F49" s="13" t="s">
        <v>16</v>
      </c>
      <c r="G49" s="13" t="s">
        <v>17</v>
      </c>
      <c r="H49" s="13" t="s">
        <v>18</v>
      </c>
      <c r="I49" s="13" t="s">
        <v>81</v>
      </c>
      <c r="J49" s="13">
        <v>1</v>
      </c>
      <c r="K49" s="13" t="s">
        <v>20</v>
      </c>
      <c r="L49" s="13">
        <v>10</v>
      </c>
      <c r="M49" s="13">
        <v>1</v>
      </c>
      <c r="N49" s="13">
        <v>10</v>
      </c>
      <c r="O49" s="13" t="s">
        <v>21</v>
      </c>
      <c r="P49" s="13">
        <v>1</v>
      </c>
      <c r="Q49" s="13" t="s">
        <v>37</v>
      </c>
      <c r="R49" s="13" t="s">
        <v>29</v>
      </c>
      <c r="S49" s="13">
        <v>10</v>
      </c>
      <c r="T49" s="13" t="s">
        <v>34</v>
      </c>
      <c r="U49" s="13" t="s">
        <v>26</v>
      </c>
      <c r="V49" s="13">
        <v>10</v>
      </c>
      <c r="W49" s="13" t="s">
        <v>180</v>
      </c>
    </row>
    <row r="50" spans="1:23" ht="18.95" customHeight="1">
      <c r="A50" s="7">
        <v>49</v>
      </c>
      <c r="B50" s="8">
        <v>1976</v>
      </c>
      <c r="C50" s="9" t="s">
        <v>13</v>
      </c>
      <c r="D50" s="10" t="s">
        <v>41</v>
      </c>
      <c r="E50" s="10" t="s">
        <v>42</v>
      </c>
      <c r="F50" s="10" t="s">
        <v>57</v>
      </c>
      <c r="G50" s="10" t="s">
        <v>17</v>
      </c>
      <c r="H50" s="10" t="s">
        <v>18</v>
      </c>
      <c r="I50" s="10" t="s">
        <v>81</v>
      </c>
      <c r="J50" s="10">
        <v>9</v>
      </c>
      <c r="K50" s="10" t="s">
        <v>20</v>
      </c>
      <c r="L50" s="10">
        <v>10</v>
      </c>
      <c r="M50" s="10">
        <v>10</v>
      </c>
      <c r="N50" s="10">
        <v>9</v>
      </c>
      <c r="O50" s="10" t="s">
        <v>21</v>
      </c>
      <c r="P50" s="10">
        <v>7</v>
      </c>
      <c r="Q50" s="10" t="s">
        <v>22</v>
      </c>
      <c r="R50" s="10" t="s">
        <v>181</v>
      </c>
      <c r="S50" s="10">
        <v>2</v>
      </c>
      <c r="T50" s="10" t="s">
        <v>153</v>
      </c>
      <c r="U50" s="10" t="s">
        <v>54</v>
      </c>
      <c r="V50" s="10">
        <v>10</v>
      </c>
      <c r="W50" s="10" t="s">
        <v>182</v>
      </c>
    </row>
    <row r="51" spans="1:23" ht="18.95" customHeight="1">
      <c r="A51" s="7">
        <v>50</v>
      </c>
      <c r="B51" s="12">
        <v>1976</v>
      </c>
      <c r="C51" s="9" t="s">
        <v>13</v>
      </c>
      <c r="D51" s="13" t="s">
        <v>156</v>
      </c>
      <c r="E51" s="13" t="s">
        <v>28</v>
      </c>
      <c r="F51" s="13" t="s">
        <v>57</v>
      </c>
      <c r="G51" s="13" t="s">
        <v>17</v>
      </c>
      <c r="H51" s="13" t="s">
        <v>18</v>
      </c>
      <c r="I51" s="13" t="s">
        <v>49</v>
      </c>
      <c r="J51" s="13">
        <v>1</v>
      </c>
      <c r="K51" s="13" t="s">
        <v>32</v>
      </c>
      <c r="L51" s="13">
        <v>10</v>
      </c>
      <c r="M51" s="13">
        <v>1</v>
      </c>
      <c r="N51" s="13">
        <v>10</v>
      </c>
      <c r="O51" s="13" t="s">
        <v>21</v>
      </c>
      <c r="P51" s="13">
        <v>1</v>
      </c>
      <c r="Q51" s="13" t="s">
        <v>22</v>
      </c>
      <c r="R51" s="13" t="s">
        <v>45</v>
      </c>
      <c r="S51" s="13">
        <v>10</v>
      </c>
      <c r="T51" s="13" t="s">
        <v>34</v>
      </c>
      <c r="U51" s="13" t="s">
        <v>54</v>
      </c>
      <c r="V51" s="13">
        <v>10</v>
      </c>
      <c r="W51" s="13" t="s">
        <v>183</v>
      </c>
    </row>
    <row r="52" spans="1:23" ht="18.95" customHeight="1">
      <c r="A52" s="7">
        <v>51</v>
      </c>
      <c r="B52" s="8">
        <v>1976</v>
      </c>
      <c r="C52" s="9" t="s">
        <v>13</v>
      </c>
      <c r="D52" s="10" t="s">
        <v>147</v>
      </c>
      <c r="E52" s="10" t="s">
        <v>36</v>
      </c>
      <c r="F52" s="10" t="s">
        <v>57</v>
      </c>
      <c r="G52" s="10" t="s">
        <v>17</v>
      </c>
      <c r="H52" s="10" t="s">
        <v>18</v>
      </c>
      <c r="I52" s="10" t="s">
        <v>81</v>
      </c>
      <c r="J52" s="10">
        <v>8</v>
      </c>
      <c r="K52" s="10" t="s">
        <v>50</v>
      </c>
      <c r="L52" s="10">
        <v>10</v>
      </c>
      <c r="M52" s="10">
        <v>9</v>
      </c>
      <c r="N52" s="10">
        <v>9</v>
      </c>
      <c r="O52" s="10" t="s">
        <v>21</v>
      </c>
      <c r="P52" s="10">
        <v>8</v>
      </c>
      <c r="Q52" s="10" t="s">
        <v>22</v>
      </c>
      <c r="R52" s="10" t="s">
        <v>38</v>
      </c>
      <c r="S52" s="10">
        <v>3</v>
      </c>
      <c r="T52" s="10" t="s">
        <v>34</v>
      </c>
      <c r="U52" s="10" t="s">
        <v>54</v>
      </c>
      <c r="V52" s="10">
        <v>10</v>
      </c>
      <c r="W52" s="10" t="s">
        <v>184</v>
      </c>
    </row>
    <row r="53" spans="1:23" ht="18.95" customHeight="1">
      <c r="A53" s="7">
        <v>52</v>
      </c>
      <c r="B53" s="12">
        <v>1976</v>
      </c>
      <c r="C53" s="9" t="s">
        <v>13</v>
      </c>
      <c r="D53" s="13" t="s">
        <v>89</v>
      </c>
      <c r="E53" s="13" t="s">
        <v>90</v>
      </c>
      <c r="F53" s="13" t="s">
        <v>16</v>
      </c>
      <c r="G53" s="13" t="s">
        <v>17</v>
      </c>
      <c r="H53" s="13" t="s">
        <v>18</v>
      </c>
      <c r="I53" s="13" t="s">
        <v>49</v>
      </c>
      <c r="J53" s="13">
        <v>7</v>
      </c>
      <c r="K53" s="13" t="s">
        <v>93</v>
      </c>
      <c r="L53" s="13">
        <v>8</v>
      </c>
      <c r="M53" s="13">
        <v>10</v>
      </c>
      <c r="N53" s="13">
        <v>9</v>
      </c>
      <c r="O53" s="13" t="s">
        <v>21</v>
      </c>
      <c r="P53" s="13">
        <v>6</v>
      </c>
      <c r="Q53" s="13" t="s">
        <v>59</v>
      </c>
      <c r="R53" s="13" t="s">
        <v>29</v>
      </c>
      <c r="S53" s="13">
        <v>2</v>
      </c>
      <c r="T53" s="13" t="s">
        <v>34</v>
      </c>
      <c r="U53" s="13" t="s">
        <v>62</v>
      </c>
      <c r="V53" s="13">
        <v>6</v>
      </c>
      <c r="W53" s="13" t="s">
        <v>185</v>
      </c>
    </row>
    <row r="54" spans="1:23" ht="18.95" customHeight="1">
      <c r="A54" s="7">
        <v>53</v>
      </c>
      <c r="B54" s="8">
        <v>1977</v>
      </c>
      <c r="C54" s="9" t="s">
        <v>13</v>
      </c>
      <c r="D54" s="10" t="s">
        <v>89</v>
      </c>
      <c r="E54" s="10" t="s">
        <v>90</v>
      </c>
      <c r="F54" s="10" t="s">
        <v>57</v>
      </c>
      <c r="G54" s="10" t="s">
        <v>17</v>
      </c>
      <c r="H54" s="10" t="s">
        <v>18</v>
      </c>
      <c r="I54" s="10" t="s">
        <v>81</v>
      </c>
      <c r="J54" s="10">
        <v>8</v>
      </c>
      <c r="K54" s="10" t="s">
        <v>20</v>
      </c>
      <c r="L54" s="10">
        <v>10</v>
      </c>
      <c r="M54" s="10">
        <v>8</v>
      </c>
      <c r="N54" s="10">
        <v>9</v>
      </c>
      <c r="O54" s="10" t="s">
        <v>21</v>
      </c>
      <c r="P54" s="10">
        <v>5</v>
      </c>
      <c r="Q54" s="10" t="s">
        <v>22</v>
      </c>
      <c r="R54" s="10" t="s">
        <v>29</v>
      </c>
      <c r="S54" s="10">
        <v>9</v>
      </c>
      <c r="T54" s="10" t="s">
        <v>124</v>
      </c>
      <c r="U54" s="10" t="s">
        <v>26</v>
      </c>
      <c r="V54" s="10">
        <v>9</v>
      </c>
      <c r="W54" s="11" t="s">
        <v>188</v>
      </c>
    </row>
    <row r="55" spans="1:23" ht="18.95" customHeight="1">
      <c r="A55" s="7">
        <v>54</v>
      </c>
      <c r="B55" s="12">
        <v>1977</v>
      </c>
      <c r="C55" s="9" t="s">
        <v>13</v>
      </c>
      <c r="D55" s="13" t="s">
        <v>166</v>
      </c>
      <c r="E55" s="13" t="s">
        <v>56</v>
      </c>
      <c r="F55" s="13" t="s">
        <v>57</v>
      </c>
      <c r="G55" s="13" t="s">
        <v>17</v>
      </c>
      <c r="H55" s="13" t="s">
        <v>18</v>
      </c>
      <c r="I55" s="13" t="s">
        <v>81</v>
      </c>
      <c r="J55" s="13">
        <v>4</v>
      </c>
      <c r="K55" s="13" t="s">
        <v>20</v>
      </c>
      <c r="L55" s="13">
        <v>9</v>
      </c>
      <c r="M55" s="13">
        <v>8</v>
      </c>
      <c r="N55" s="13">
        <v>10</v>
      </c>
      <c r="O55" s="13" t="s">
        <v>21</v>
      </c>
      <c r="P55" s="13">
        <v>6</v>
      </c>
      <c r="Q55" s="13" t="s">
        <v>22</v>
      </c>
      <c r="R55" s="13" t="s">
        <v>29</v>
      </c>
      <c r="S55" s="13">
        <v>10</v>
      </c>
      <c r="T55" s="13" t="s">
        <v>53</v>
      </c>
      <c r="U55" s="13" t="s">
        <v>97</v>
      </c>
      <c r="V55" s="13">
        <v>10</v>
      </c>
      <c r="W55" s="14" t="s">
        <v>189</v>
      </c>
    </row>
    <row r="56" spans="1:23" ht="18.95" customHeight="1">
      <c r="A56" s="7">
        <v>55</v>
      </c>
      <c r="B56" s="8">
        <v>1977</v>
      </c>
      <c r="C56" s="9" t="s">
        <v>13</v>
      </c>
      <c r="D56" s="10" t="s">
        <v>98</v>
      </c>
      <c r="E56" s="10" t="s">
        <v>15</v>
      </c>
      <c r="F56" s="10" t="s">
        <v>57</v>
      </c>
      <c r="G56" s="10" t="s">
        <v>17</v>
      </c>
      <c r="H56" s="10" t="s">
        <v>18</v>
      </c>
      <c r="I56" s="10" t="s">
        <v>81</v>
      </c>
      <c r="J56" s="10">
        <v>5</v>
      </c>
      <c r="K56" s="10" t="s">
        <v>93</v>
      </c>
      <c r="L56" s="10">
        <v>10</v>
      </c>
      <c r="M56" s="10">
        <v>10</v>
      </c>
      <c r="N56" s="10">
        <v>10</v>
      </c>
      <c r="O56" s="10" t="s">
        <v>21</v>
      </c>
      <c r="P56" s="10">
        <v>8</v>
      </c>
      <c r="Q56" s="10" t="s">
        <v>22</v>
      </c>
      <c r="R56" s="10" t="s">
        <v>29</v>
      </c>
      <c r="S56" s="10">
        <v>10</v>
      </c>
      <c r="T56" s="10" t="s">
        <v>53</v>
      </c>
      <c r="U56" s="10" t="s">
        <v>80</v>
      </c>
      <c r="V56" s="10">
        <v>8</v>
      </c>
      <c r="W56" s="11" t="s">
        <v>190</v>
      </c>
    </row>
    <row r="57" spans="1:23" ht="18.95" customHeight="1">
      <c r="A57" s="7">
        <v>56</v>
      </c>
      <c r="B57" s="12">
        <v>1977</v>
      </c>
      <c r="C57" s="9" t="s">
        <v>13</v>
      </c>
      <c r="D57" s="13" t="s">
        <v>27</v>
      </c>
      <c r="E57" s="13" t="s">
        <v>28</v>
      </c>
      <c r="F57" s="13" t="s">
        <v>16</v>
      </c>
      <c r="G57" s="13" t="s">
        <v>17</v>
      </c>
      <c r="H57" s="13" t="s">
        <v>18</v>
      </c>
      <c r="I57" s="13" t="s">
        <v>49</v>
      </c>
      <c r="J57" s="13">
        <v>8</v>
      </c>
      <c r="K57" s="13" t="s">
        <v>85</v>
      </c>
      <c r="L57" s="13">
        <v>10</v>
      </c>
      <c r="M57" s="13">
        <v>10</v>
      </c>
      <c r="N57" s="13">
        <v>10</v>
      </c>
      <c r="O57" s="13" t="s">
        <v>21</v>
      </c>
      <c r="P57" s="13">
        <v>7</v>
      </c>
      <c r="Q57" s="13" t="s">
        <v>22</v>
      </c>
      <c r="R57" s="13" t="s">
        <v>33</v>
      </c>
      <c r="S57" s="13">
        <v>10</v>
      </c>
      <c r="T57" s="13" t="s">
        <v>53</v>
      </c>
      <c r="U57" s="13" t="s">
        <v>54</v>
      </c>
      <c r="V57" s="13">
        <v>10</v>
      </c>
      <c r="W57" s="14" t="s">
        <v>186</v>
      </c>
    </row>
    <row r="58" spans="1:23" ht="18.95" customHeight="1">
      <c r="A58" s="7">
        <v>57</v>
      </c>
      <c r="B58" s="8">
        <v>1977</v>
      </c>
      <c r="C58" s="9" t="s">
        <v>13</v>
      </c>
      <c r="D58" s="10" t="s">
        <v>132</v>
      </c>
      <c r="E58" s="10" t="s">
        <v>90</v>
      </c>
      <c r="F58" s="10" t="s">
        <v>57</v>
      </c>
      <c r="G58" s="10" t="s">
        <v>17</v>
      </c>
      <c r="H58" s="10" t="s">
        <v>18</v>
      </c>
      <c r="I58" s="10" t="s">
        <v>49</v>
      </c>
      <c r="J58" s="10">
        <v>9</v>
      </c>
      <c r="K58" s="10" t="s">
        <v>93</v>
      </c>
      <c r="L58" s="10">
        <v>10</v>
      </c>
      <c r="M58" s="10">
        <v>10</v>
      </c>
      <c r="N58" s="10">
        <v>10</v>
      </c>
      <c r="O58" s="10" t="s">
        <v>94</v>
      </c>
      <c r="P58" s="10">
        <v>7</v>
      </c>
      <c r="Q58" s="10" t="s">
        <v>22</v>
      </c>
      <c r="R58" s="10" t="s">
        <v>33</v>
      </c>
      <c r="S58" s="10">
        <v>10</v>
      </c>
      <c r="T58" s="10" t="s">
        <v>34</v>
      </c>
      <c r="U58" s="10" t="s">
        <v>26</v>
      </c>
      <c r="V58" s="10">
        <v>10</v>
      </c>
      <c r="W58" s="11" t="s">
        <v>191</v>
      </c>
    </row>
    <row r="59" spans="1:23" ht="18.95" customHeight="1">
      <c r="A59" s="7">
        <v>58</v>
      </c>
      <c r="B59" s="12">
        <v>1977</v>
      </c>
      <c r="C59" s="9" t="s">
        <v>13</v>
      </c>
      <c r="D59" s="13" t="s">
        <v>30</v>
      </c>
      <c r="E59" s="13" t="s">
        <v>15</v>
      </c>
      <c r="F59" s="13" t="s">
        <v>57</v>
      </c>
      <c r="G59" s="13" t="s">
        <v>17</v>
      </c>
      <c r="H59" s="13" t="s">
        <v>18</v>
      </c>
      <c r="I59" s="13" t="s">
        <v>76</v>
      </c>
      <c r="J59" s="13">
        <v>5</v>
      </c>
      <c r="K59" s="13" t="s">
        <v>20</v>
      </c>
      <c r="L59" s="13">
        <v>10</v>
      </c>
      <c r="M59" s="13">
        <v>5</v>
      </c>
      <c r="N59" s="13">
        <v>5</v>
      </c>
      <c r="O59" s="13" t="s">
        <v>21</v>
      </c>
      <c r="P59" s="13">
        <v>5</v>
      </c>
      <c r="Q59" s="13" t="s">
        <v>22</v>
      </c>
      <c r="R59" s="13" t="s">
        <v>192</v>
      </c>
      <c r="S59" s="13">
        <v>10</v>
      </c>
      <c r="T59" s="13" t="s">
        <v>124</v>
      </c>
      <c r="U59" s="13" t="s">
        <v>26</v>
      </c>
      <c r="V59" s="13">
        <v>9</v>
      </c>
      <c r="W59" s="14" t="s">
        <v>193</v>
      </c>
    </row>
    <row r="60" spans="1:23" ht="18.95" customHeight="1">
      <c r="A60" s="7">
        <v>59</v>
      </c>
      <c r="B60" s="8">
        <v>1977</v>
      </c>
      <c r="C60" s="9" t="s">
        <v>13</v>
      </c>
      <c r="D60" s="10" t="s">
        <v>130</v>
      </c>
      <c r="E60" s="10" t="s">
        <v>36</v>
      </c>
      <c r="F60" s="10" t="s">
        <v>16</v>
      </c>
      <c r="G60" s="10" t="s">
        <v>17</v>
      </c>
      <c r="H60" s="10" t="s">
        <v>18</v>
      </c>
      <c r="I60" s="10" t="s">
        <v>31</v>
      </c>
      <c r="J60" s="10">
        <v>8</v>
      </c>
      <c r="K60" s="10" t="s">
        <v>93</v>
      </c>
      <c r="L60" s="10">
        <v>8</v>
      </c>
      <c r="M60" s="10">
        <v>2</v>
      </c>
      <c r="N60" s="10">
        <v>6</v>
      </c>
      <c r="O60" s="10" t="s">
        <v>21</v>
      </c>
      <c r="P60" s="10">
        <v>7</v>
      </c>
      <c r="Q60" s="10" t="s">
        <v>37</v>
      </c>
      <c r="R60" s="10" t="s">
        <v>45</v>
      </c>
      <c r="S60" s="10">
        <v>10</v>
      </c>
      <c r="T60" s="10" t="s">
        <v>73</v>
      </c>
      <c r="U60" s="10" t="s">
        <v>80</v>
      </c>
      <c r="V60" s="10">
        <v>5</v>
      </c>
      <c r="W60" s="11" t="s">
        <v>194</v>
      </c>
    </row>
    <row r="61" spans="1:23" ht="18.95" customHeight="1">
      <c r="A61" s="7">
        <v>60</v>
      </c>
      <c r="B61" s="12">
        <v>1977</v>
      </c>
      <c r="C61" s="9" t="s">
        <v>13</v>
      </c>
      <c r="D61" s="13" t="s">
        <v>195</v>
      </c>
      <c r="E61" s="13" t="s">
        <v>56</v>
      </c>
      <c r="F61" s="13" t="s">
        <v>57</v>
      </c>
      <c r="G61" s="13" t="s">
        <v>17</v>
      </c>
      <c r="H61" s="13" t="s">
        <v>18</v>
      </c>
      <c r="I61" s="13" t="s">
        <v>76</v>
      </c>
      <c r="J61" s="13">
        <v>5</v>
      </c>
      <c r="K61" s="13" t="s">
        <v>20</v>
      </c>
      <c r="L61" s="13">
        <v>10</v>
      </c>
      <c r="M61" s="13">
        <v>5</v>
      </c>
      <c r="N61" s="13">
        <v>5</v>
      </c>
      <c r="O61" s="13" t="s">
        <v>21</v>
      </c>
      <c r="P61" s="13">
        <v>8</v>
      </c>
      <c r="Q61" s="13" t="s">
        <v>22</v>
      </c>
      <c r="R61" s="13" t="s">
        <v>174</v>
      </c>
      <c r="S61" s="13">
        <v>8</v>
      </c>
      <c r="T61" s="13" t="s">
        <v>34</v>
      </c>
      <c r="U61" s="13" t="s">
        <v>54</v>
      </c>
      <c r="V61" s="13">
        <v>10</v>
      </c>
      <c r="W61" s="14" t="s">
        <v>196</v>
      </c>
    </row>
    <row r="62" spans="1:23" ht="18.95" customHeight="1">
      <c r="A62" s="7">
        <v>61</v>
      </c>
      <c r="B62" s="8">
        <v>1977</v>
      </c>
      <c r="C62" s="9" t="s">
        <v>13</v>
      </c>
      <c r="D62" s="10" t="s">
        <v>89</v>
      </c>
      <c r="E62" s="10" t="s">
        <v>90</v>
      </c>
      <c r="F62" s="10" t="s">
        <v>16</v>
      </c>
      <c r="G62" s="10" t="s">
        <v>103</v>
      </c>
      <c r="H62" s="10" t="s">
        <v>18</v>
      </c>
      <c r="I62" s="10" t="s">
        <v>197</v>
      </c>
      <c r="J62" s="10">
        <v>8</v>
      </c>
      <c r="K62" s="10" t="s">
        <v>20</v>
      </c>
      <c r="L62" s="10">
        <v>10</v>
      </c>
      <c r="M62" s="10">
        <v>8</v>
      </c>
      <c r="N62" s="10">
        <v>10</v>
      </c>
      <c r="O62" s="10" t="s">
        <v>21</v>
      </c>
      <c r="P62" s="10">
        <v>3</v>
      </c>
      <c r="Q62" s="10" t="s">
        <v>44</v>
      </c>
      <c r="R62" s="10" t="s">
        <v>198</v>
      </c>
      <c r="S62" s="10">
        <v>9</v>
      </c>
      <c r="T62" s="10" t="s">
        <v>53</v>
      </c>
      <c r="U62" s="10" t="s">
        <v>62</v>
      </c>
      <c r="V62" s="10">
        <v>6</v>
      </c>
      <c r="W62" s="11" t="s">
        <v>199</v>
      </c>
    </row>
    <row r="63" spans="1:23" ht="18.95" customHeight="1">
      <c r="A63" s="7">
        <v>62</v>
      </c>
      <c r="B63" s="12">
        <v>1977</v>
      </c>
      <c r="C63" s="9" t="s">
        <v>13</v>
      </c>
      <c r="D63" s="13" t="s">
        <v>147</v>
      </c>
      <c r="E63" s="13" t="s">
        <v>36</v>
      </c>
      <c r="F63" s="13" t="s">
        <v>57</v>
      </c>
      <c r="G63" s="13" t="s">
        <v>17</v>
      </c>
      <c r="H63" s="13" t="s">
        <v>48</v>
      </c>
      <c r="I63" s="13" t="s">
        <v>84</v>
      </c>
      <c r="J63" s="13">
        <v>8</v>
      </c>
      <c r="K63" s="13" t="s">
        <v>85</v>
      </c>
      <c r="L63" s="13">
        <v>8</v>
      </c>
      <c r="M63" s="13">
        <v>9</v>
      </c>
      <c r="N63" s="13">
        <v>8</v>
      </c>
      <c r="O63" s="13" t="s">
        <v>94</v>
      </c>
      <c r="P63" s="13">
        <v>8</v>
      </c>
      <c r="Q63" s="13" t="s">
        <v>22</v>
      </c>
      <c r="R63" s="13" t="s">
        <v>29</v>
      </c>
      <c r="S63" s="13">
        <v>10</v>
      </c>
      <c r="T63" s="13" t="s">
        <v>34</v>
      </c>
      <c r="U63" s="13" t="s">
        <v>80</v>
      </c>
      <c r="V63" s="13">
        <v>8</v>
      </c>
      <c r="W63" s="13" t="s">
        <v>200</v>
      </c>
    </row>
    <row r="64" spans="1:23" ht="18.95" customHeight="1">
      <c r="A64" s="7">
        <v>63</v>
      </c>
      <c r="B64" s="8">
        <v>1977</v>
      </c>
      <c r="C64" s="9" t="s">
        <v>13</v>
      </c>
      <c r="D64" s="10" t="s">
        <v>141</v>
      </c>
      <c r="E64" s="10" t="s">
        <v>87</v>
      </c>
      <c r="F64" s="10" t="s">
        <v>16</v>
      </c>
      <c r="G64" s="10" t="s">
        <v>47</v>
      </c>
      <c r="H64" s="10" t="s">
        <v>18</v>
      </c>
      <c r="I64" s="10" t="s">
        <v>201</v>
      </c>
      <c r="J64" s="10">
        <v>10</v>
      </c>
      <c r="K64" s="10" t="s">
        <v>20</v>
      </c>
      <c r="L64" s="10">
        <v>10</v>
      </c>
      <c r="M64" s="10">
        <v>1</v>
      </c>
      <c r="N64" s="10">
        <v>10</v>
      </c>
      <c r="O64" s="10" t="s">
        <v>21</v>
      </c>
      <c r="P64" s="10">
        <v>6</v>
      </c>
      <c r="Q64" s="10" t="s">
        <v>59</v>
      </c>
      <c r="R64" s="10" t="s">
        <v>33</v>
      </c>
      <c r="S64" s="10">
        <v>1</v>
      </c>
      <c r="T64" s="10" t="s">
        <v>34</v>
      </c>
      <c r="U64" s="10" t="s">
        <v>54</v>
      </c>
      <c r="V64" s="10">
        <v>10</v>
      </c>
      <c r="W64" s="10" t="s">
        <v>202</v>
      </c>
    </row>
    <row r="65" spans="1:23" ht="18.95" customHeight="1">
      <c r="A65" s="7">
        <v>64</v>
      </c>
      <c r="B65" s="12">
        <v>1977</v>
      </c>
      <c r="C65" s="9" t="s">
        <v>13</v>
      </c>
      <c r="D65" s="13" t="s">
        <v>203</v>
      </c>
      <c r="E65" s="13" t="s">
        <v>75</v>
      </c>
      <c r="F65" s="13" t="s">
        <v>57</v>
      </c>
      <c r="G65" s="13" t="s">
        <v>17</v>
      </c>
      <c r="H65" s="13" t="s">
        <v>48</v>
      </c>
      <c r="I65" s="13" t="s">
        <v>49</v>
      </c>
      <c r="J65" s="13">
        <v>8</v>
      </c>
      <c r="K65" s="13" t="s">
        <v>20</v>
      </c>
      <c r="L65" s="13">
        <v>8</v>
      </c>
      <c r="M65" s="13">
        <v>4</v>
      </c>
      <c r="N65" s="13">
        <v>9</v>
      </c>
      <c r="O65" s="13" t="s">
        <v>21</v>
      </c>
      <c r="P65" s="13">
        <v>6</v>
      </c>
      <c r="Q65" s="13" t="s">
        <v>59</v>
      </c>
      <c r="R65" s="13" t="s">
        <v>117</v>
      </c>
      <c r="S65" s="13">
        <v>6</v>
      </c>
      <c r="T65" s="13" t="s">
        <v>34</v>
      </c>
      <c r="U65" s="13" t="s">
        <v>97</v>
      </c>
      <c r="V65" s="13">
        <v>8</v>
      </c>
      <c r="W65" s="13" t="s">
        <v>204</v>
      </c>
    </row>
    <row r="66" spans="1:23" ht="18.95" customHeight="1">
      <c r="A66" s="7">
        <v>65</v>
      </c>
      <c r="B66" s="8">
        <v>1977</v>
      </c>
      <c r="C66" s="9" t="s">
        <v>13</v>
      </c>
      <c r="D66" s="10" t="s">
        <v>30</v>
      </c>
      <c r="E66" s="10" t="s">
        <v>15</v>
      </c>
      <c r="F66" s="10" t="s">
        <v>57</v>
      </c>
      <c r="G66" s="10" t="s">
        <v>47</v>
      </c>
      <c r="H66" s="10" t="s">
        <v>18</v>
      </c>
      <c r="I66" s="10" t="s">
        <v>19</v>
      </c>
      <c r="J66" s="10">
        <v>8</v>
      </c>
      <c r="K66" s="10" t="s">
        <v>20</v>
      </c>
      <c r="L66" s="10">
        <v>10</v>
      </c>
      <c r="M66" s="10">
        <v>10</v>
      </c>
      <c r="N66" s="10">
        <v>10</v>
      </c>
      <c r="O66" s="10" t="s">
        <v>21</v>
      </c>
      <c r="P66" s="10">
        <v>10</v>
      </c>
      <c r="Q66" s="10" t="s">
        <v>44</v>
      </c>
      <c r="R66" s="10" t="s">
        <v>45</v>
      </c>
      <c r="S66" s="10">
        <v>10</v>
      </c>
      <c r="T66" s="10" t="s">
        <v>61</v>
      </c>
      <c r="U66" s="10" t="s">
        <v>97</v>
      </c>
      <c r="V66" s="10">
        <v>9</v>
      </c>
      <c r="W66" s="10" t="s">
        <v>205</v>
      </c>
    </row>
    <row r="67" spans="1:23" ht="18.95" customHeight="1">
      <c r="A67" s="7">
        <v>66</v>
      </c>
      <c r="B67" s="12">
        <v>1977</v>
      </c>
      <c r="C67" s="9" t="s">
        <v>13</v>
      </c>
      <c r="D67" s="13" t="s">
        <v>206</v>
      </c>
      <c r="E67" s="13" t="s">
        <v>87</v>
      </c>
      <c r="F67" s="13" t="s">
        <v>57</v>
      </c>
      <c r="G67" s="13" t="s">
        <v>17</v>
      </c>
      <c r="H67" s="13" t="s">
        <v>18</v>
      </c>
      <c r="I67" s="13" t="s">
        <v>81</v>
      </c>
      <c r="J67" s="13">
        <v>6</v>
      </c>
      <c r="K67" s="13" t="s">
        <v>20</v>
      </c>
      <c r="L67" s="13">
        <v>8</v>
      </c>
      <c r="M67" s="13">
        <v>10</v>
      </c>
      <c r="N67" s="13">
        <v>10</v>
      </c>
      <c r="O67" s="13" t="s">
        <v>21</v>
      </c>
      <c r="P67" s="13">
        <v>8</v>
      </c>
      <c r="Q67" s="13" t="s">
        <v>22</v>
      </c>
      <c r="R67" s="13" t="s">
        <v>29</v>
      </c>
      <c r="S67" s="13">
        <v>10</v>
      </c>
      <c r="T67" s="13" t="s">
        <v>73</v>
      </c>
      <c r="U67" s="13" t="s">
        <v>140</v>
      </c>
      <c r="V67" s="13">
        <v>10</v>
      </c>
      <c r="W67" s="13" t="s">
        <v>207</v>
      </c>
    </row>
    <row r="68" spans="1:23" ht="18.95" customHeight="1">
      <c r="A68" s="7">
        <v>67</v>
      </c>
      <c r="B68" s="8">
        <v>1977</v>
      </c>
      <c r="C68" s="9" t="s">
        <v>13</v>
      </c>
      <c r="D68" s="10" t="s">
        <v>141</v>
      </c>
      <c r="E68" s="10" t="s">
        <v>87</v>
      </c>
      <c r="F68" s="10" t="s">
        <v>16</v>
      </c>
      <c r="G68" s="10" t="s">
        <v>47</v>
      </c>
      <c r="H68" s="10" t="s">
        <v>18</v>
      </c>
      <c r="I68" s="10" t="s">
        <v>208</v>
      </c>
      <c r="J68" s="10">
        <v>5</v>
      </c>
      <c r="K68" s="10" t="s">
        <v>20</v>
      </c>
      <c r="L68" s="10">
        <v>9</v>
      </c>
      <c r="M68" s="10">
        <v>1</v>
      </c>
      <c r="N68" s="10">
        <v>5</v>
      </c>
      <c r="O68" s="10" t="s">
        <v>21</v>
      </c>
      <c r="P68" s="10">
        <v>6</v>
      </c>
      <c r="Q68" s="10" t="s">
        <v>44</v>
      </c>
      <c r="R68" s="10" t="s">
        <v>209</v>
      </c>
      <c r="S68" s="10">
        <v>10</v>
      </c>
      <c r="T68" s="10" t="s">
        <v>73</v>
      </c>
      <c r="U68" s="10" t="s">
        <v>140</v>
      </c>
      <c r="V68" s="10">
        <v>8</v>
      </c>
      <c r="W68" s="10" t="s">
        <v>210</v>
      </c>
    </row>
    <row r="69" spans="1:23" ht="18.95" customHeight="1">
      <c r="A69" s="7">
        <v>68</v>
      </c>
      <c r="B69" s="12">
        <v>1977</v>
      </c>
      <c r="C69" s="9" t="s">
        <v>13</v>
      </c>
      <c r="D69" s="13" t="s">
        <v>203</v>
      </c>
      <c r="E69" s="13" t="s">
        <v>75</v>
      </c>
      <c r="F69" s="13" t="s">
        <v>57</v>
      </c>
      <c r="G69" s="13" t="s">
        <v>17</v>
      </c>
      <c r="H69" s="13" t="s">
        <v>18</v>
      </c>
      <c r="I69" s="13" t="s">
        <v>81</v>
      </c>
      <c r="J69" s="13">
        <v>8</v>
      </c>
      <c r="K69" s="13" t="s">
        <v>20</v>
      </c>
      <c r="L69" s="13">
        <v>10</v>
      </c>
      <c r="M69" s="13">
        <v>7</v>
      </c>
      <c r="N69" s="13">
        <v>10</v>
      </c>
      <c r="O69" s="13" t="s">
        <v>21</v>
      </c>
      <c r="P69" s="13">
        <v>7</v>
      </c>
      <c r="Q69" s="13" t="s">
        <v>22</v>
      </c>
      <c r="R69" s="13" t="s">
        <v>29</v>
      </c>
      <c r="S69" s="13">
        <v>10</v>
      </c>
      <c r="T69" s="13" t="s">
        <v>34</v>
      </c>
      <c r="U69" s="13" t="s">
        <v>97</v>
      </c>
      <c r="V69" s="13">
        <v>9</v>
      </c>
      <c r="W69" s="13" t="s">
        <v>211</v>
      </c>
    </row>
    <row r="70" spans="1:23" ht="18.95" customHeight="1">
      <c r="A70" s="7">
        <v>69</v>
      </c>
      <c r="B70" s="8">
        <v>1977</v>
      </c>
      <c r="C70" s="9" t="s">
        <v>13</v>
      </c>
      <c r="D70" s="10" t="s">
        <v>46</v>
      </c>
      <c r="E70" s="10" t="s">
        <v>36</v>
      </c>
      <c r="F70" s="10" t="s">
        <v>57</v>
      </c>
      <c r="G70" s="10" t="s">
        <v>17</v>
      </c>
      <c r="H70" s="10" t="s">
        <v>18</v>
      </c>
      <c r="I70" s="10" t="s">
        <v>212</v>
      </c>
      <c r="J70" s="10">
        <v>5</v>
      </c>
      <c r="K70" s="10" t="s">
        <v>32</v>
      </c>
      <c r="L70" s="10">
        <v>1</v>
      </c>
      <c r="M70" s="10">
        <v>1</v>
      </c>
      <c r="N70" s="10">
        <v>8</v>
      </c>
      <c r="O70" s="10" t="s">
        <v>21</v>
      </c>
      <c r="P70" s="10">
        <v>5</v>
      </c>
      <c r="Q70" s="10" t="s">
        <v>125</v>
      </c>
      <c r="R70" s="10" t="s">
        <v>112</v>
      </c>
      <c r="S70" s="10">
        <v>5</v>
      </c>
      <c r="T70" s="10" t="s">
        <v>34</v>
      </c>
      <c r="U70" s="10" t="s">
        <v>80</v>
      </c>
      <c r="V70" s="10">
        <v>10</v>
      </c>
      <c r="W70" s="10" t="s">
        <v>213</v>
      </c>
    </row>
    <row r="71" spans="1:23" ht="18.95" customHeight="1">
      <c r="A71" s="7">
        <v>70</v>
      </c>
      <c r="B71" s="12">
        <v>1977</v>
      </c>
      <c r="C71" s="9" t="s">
        <v>13</v>
      </c>
      <c r="D71" s="13" t="s">
        <v>195</v>
      </c>
      <c r="E71" s="13" t="s">
        <v>56</v>
      </c>
      <c r="F71" s="13" t="s">
        <v>57</v>
      </c>
      <c r="G71" s="13" t="s">
        <v>17</v>
      </c>
      <c r="H71" s="13" t="s">
        <v>18</v>
      </c>
      <c r="I71" s="13" t="s">
        <v>49</v>
      </c>
      <c r="J71" s="13">
        <v>9</v>
      </c>
      <c r="K71" s="13" t="s">
        <v>20</v>
      </c>
      <c r="L71" s="13">
        <v>9</v>
      </c>
      <c r="M71" s="13">
        <v>10</v>
      </c>
      <c r="N71" s="13">
        <v>10</v>
      </c>
      <c r="O71" s="13" t="s">
        <v>21</v>
      </c>
      <c r="P71" s="13">
        <v>6</v>
      </c>
      <c r="Q71" s="13" t="s">
        <v>22</v>
      </c>
      <c r="R71" s="13" t="s">
        <v>38</v>
      </c>
      <c r="S71" s="13">
        <v>9</v>
      </c>
      <c r="T71" s="13" t="s">
        <v>34</v>
      </c>
      <c r="U71" s="13" t="s">
        <v>26</v>
      </c>
      <c r="V71" s="13">
        <v>9</v>
      </c>
      <c r="W71" s="13" t="s">
        <v>214</v>
      </c>
    </row>
    <row r="72" spans="1:23" ht="18.95" customHeight="1">
      <c r="A72" s="7">
        <v>71</v>
      </c>
      <c r="B72" s="8">
        <v>1977</v>
      </c>
      <c r="C72" s="9" t="s">
        <v>13</v>
      </c>
      <c r="D72" s="10" t="s">
        <v>215</v>
      </c>
      <c r="E72" s="10" t="s">
        <v>28</v>
      </c>
      <c r="F72" s="10" t="s">
        <v>57</v>
      </c>
      <c r="G72" s="10" t="s">
        <v>17</v>
      </c>
      <c r="H72" s="10" t="s">
        <v>18</v>
      </c>
      <c r="I72" s="10" t="s">
        <v>81</v>
      </c>
      <c r="J72" s="10">
        <v>1</v>
      </c>
      <c r="K72" s="10" t="s">
        <v>20</v>
      </c>
      <c r="L72" s="10">
        <v>9</v>
      </c>
      <c r="M72" s="10">
        <v>10</v>
      </c>
      <c r="N72" s="10">
        <v>10</v>
      </c>
      <c r="O72" s="10" t="s">
        <v>21</v>
      </c>
      <c r="P72" s="10">
        <v>2</v>
      </c>
      <c r="Q72" s="10" t="s">
        <v>22</v>
      </c>
      <c r="R72" s="10" t="s">
        <v>29</v>
      </c>
      <c r="S72" s="10">
        <v>10</v>
      </c>
      <c r="T72" s="10" t="s">
        <v>73</v>
      </c>
      <c r="U72" s="10" t="s">
        <v>54</v>
      </c>
      <c r="V72" s="10">
        <v>10</v>
      </c>
      <c r="W72" s="10" t="s">
        <v>216</v>
      </c>
    </row>
    <row r="73" spans="1:23" ht="18.95" customHeight="1">
      <c r="A73" s="7">
        <v>72</v>
      </c>
      <c r="B73" s="12">
        <v>1978</v>
      </c>
      <c r="C73" s="9" t="s">
        <v>13</v>
      </c>
      <c r="D73" s="13" t="s">
        <v>114</v>
      </c>
      <c r="E73" s="13" t="s">
        <v>56</v>
      </c>
      <c r="F73" s="13" t="s">
        <v>57</v>
      </c>
      <c r="G73" s="13" t="s">
        <v>103</v>
      </c>
      <c r="H73" s="13" t="s">
        <v>18</v>
      </c>
      <c r="I73" s="13" t="s">
        <v>218</v>
      </c>
      <c r="J73" s="13">
        <v>8</v>
      </c>
      <c r="K73" s="13" t="s">
        <v>32</v>
      </c>
      <c r="L73" s="13">
        <v>9</v>
      </c>
      <c r="M73" s="13">
        <v>8</v>
      </c>
      <c r="N73" s="13">
        <v>5</v>
      </c>
      <c r="O73" s="13" t="s">
        <v>21</v>
      </c>
      <c r="P73" s="13">
        <v>6</v>
      </c>
      <c r="Q73" s="13" t="s">
        <v>59</v>
      </c>
      <c r="R73" s="13" t="s">
        <v>29</v>
      </c>
      <c r="S73" s="13">
        <v>10</v>
      </c>
      <c r="T73" s="13" t="s">
        <v>67</v>
      </c>
      <c r="U73" s="13" t="s">
        <v>140</v>
      </c>
      <c r="V73" s="13">
        <v>8</v>
      </c>
      <c r="W73" s="14" t="s">
        <v>219</v>
      </c>
    </row>
    <row r="74" spans="1:23" ht="18.95" customHeight="1">
      <c r="A74" s="7">
        <v>73</v>
      </c>
      <c r="B74" s="8">
        <v>1978</v>
      </c>
      <c r="C74" s="9" t="s">
        <v>13</v>
      </c>
      <c r="D74" s="10" t="s">
        <v>46</v>
      </c>
      <c r="E74" s="10" t="s">
        <v>36</v>
      </c>
      <c r="F74" s="10" t="s">
        <v>16</v>
      </c>
      <c r="G74" s="10" t="s">
        <v>17</v>
      </c>
      <c r="H74" s="10" t="s">
        <v>18</v>
      </c>
      <c r="I74" s="10" t="s">
        <v>81</v>
      </c>
      <c r="J74" s="10">
        <v>6</v>
      </c>
      <c r="K74" s="10" t="s">
        <v>93</v>
      </c>
      <c r="L74" s="10">
        <v>10</v>
      </c>
      <c r="M74" s="10">
        <v>10</v>
      </c>
      <c r="N74" s="10">
        <v>10</v>
      </c>
      <c r="O74" s="10" t="s">
        <v>94</v>
      </c>
      <c r="P74" s="10">
        <v>9</v>
      </c>
      <c r="Q74" s="10" t="s">
        <v>22</v>
      </c>
      <c r="R74" s="10" t="s">
        <v>29</v>
      </c>
      <c r="S74" s="10">
        <v>10</v>
      </c>
      <c r="T74" s="10" t="s">
        <v>34</v>
      </c>
      <c r="U74" s="10" t="s">
        <v>97</v>
      </c>
      <c r="V74" s="10">
        <v>9</v>
      </c>
      <c r="W74" s="11" t="s">
        <v>220</v>
      </c>
    </row>
    <row r="75" spans="1:23" ht="18.95" customHeight="1">
      <c r="A75" s="7">
        <v>74</v>
      </c>
      <c r="B75" s="12">
        <v>1978</v>
      </c>
      <c r="C75" s="9" t="s">
        <v>13</v>
      </c>
      <c r="D75" s="13" t="s">
        <v>89</v>
      </c>
      <c r="E75" s="13" t="s">
        <v>90</v>
      </c>
      <c r="F75" s="13" t="s">
        <v>57</v>
      </c>
      <c r="G75" s="13" t="s">
        <v>17</v>
      </c>
      <c r="H75" s="13" t="s">
        <v>18</v>
      </c>
      <c r="I75" s="13" t="s">
        <v>162</v>
      </c>
      <c r="J75" s="13">
        <v>9</v>
      </c>
      <c r="K75" s="13" t="s">
        <v>20</v>
      </c>
      <c r="L75" s="13">
        <v>9</v>
      </c>
      <c r="M75" s="13">
        <v>1</v>
      </c>
      <c r="N75" s="13">
        <v>6</v>
      </c>
      <c r="O75" s="13" t="s">
        <v>21</v>
      </c>
      <c r="P75" s="13">
        <v>9</v>
      </c>
      <c r="Q75" s="13" t="s">
        <v>44</v>
      </c>
      <c r="R75" s="13" t="s">
        <v>51</v>
      </c>
      <c r="S75" s="13">
        <v>10</v>
      </c>
      <c r="T75" s="13" t="s">
        <v>53</v>
      </c>
      <c r="U75" s="13" t="s">
        <v>26</v>
      </c>
      <c r="V75" s="13">
        <v>10</v>
      </c>
      <c r="W75" s="14" t="s">
        <v>221</v>
      </c>
    </row>
    <row r="76" spans="1:23" ht="18.95" customHeight="1">
      <c r="A76" s="7">
        <v>75</v>
      </c>
      <c r="B76" s="8">
        <v>1978</v>
      </c>
      <c r="C76" s="9" t="s">
        <v>13</v>
      </c>
      <c r="D76" s="10" t="s">
        <v>222</v>
      </c>
      <c r="E76" s="10" t="s">
        <v>56</v>
      </c>
      <c r="F76" s="10" t="s">
        <v>57</v>
      </c>
      <c r="G76" s="10" t="s">
        <v>17</v>
      </c>
      <c r="H76" s="10" t="s">
        <v>18</v>
      </c>
      <c r="I76" s="10" t="s">
        <v>81</v>
      </c>
      <c r="J76" s="10">
        <v>9</v>
      </c>
      <c r="K76" s="10" t="s">
        <v>85</v>
      </c>
      <c r="L76" s="10">
        <v>10</v>
      </c>
      <c r="M76" s="10">
        <v>6</v>
      </c>
      <c r="N76" s="10">
        <v>10</v>
      </c>
      <c r="O76" s="10" t="s">
        <v>21</v>
      </c>
      <c r="P76" s="10">
        <v>9</v>
      </c>
      <c r="Q76" s="10" t="s">
        <v>173</v>
      </c>
      <c r="R76" s="10" t="s">
        <v>174</v>
      </c>
      <c r="S76" s="10">
        <v>10</v>
      </c>
      <c r="T76" s="10" t="s">
        <v>73</v>
      </c>
      <c r="U76" s="10" t="s">
        <v>68</v>
      </c>
      <c r="V76" s="10">
        <v>10</v>
      </c>
      <c r="W76" s="11" t="s">
        <v>223</v>
      </c>
    </row>
    <row r="77" spans="1:23" ht="18.95" customHeight="1">
      <c r="A77" s="7">
        <v>76</v>
      </c>
      <c r="B77" s="12">
        <v>1978</v>
      </c>
      <c r="C77" s="9" t="s">
        <v>13</v>
      </c>
      <c r="D77" s="13" t="s">
        <v>55</v>
      </c>
      <c r="E77" s="13" t="s">
        <v>56</v>
      </c>
      <c r="F77" s="13" t="s">
        <v>16</v>
      </c>
      <c r="G77" s="13" t="s">
        <v>17</v>
      </c>
      <c r="H77" s="13" t="s">
        <v>18</v>
      </c>
      <c r="I77" s="13" t="s">
        <v>76</v>
      </c>
      <c r="J77" s="13">
        <v>9</v>
      </c>
      <c r="K77" s="13" t="s">
        <v>85</v>
      </c>
      <c r="L77" s="13">
        <v>9</v>
      </c>
      <c r="M77" s="13">
        <v>8</v>
      </c>
      <c r="N77" s="13">
        <v>8</v>
      </c>
      <c r="O77" s="13" t="s">
        <v>21</v>
      </c>
      <c r="P77" s="13">
        <v>4</v>
      </c>
      <c r="Q77" s="13" t="s">
        <v>44</v>
      </c>
      <c r="R77" s="13" t="s">
        <v>224</v>
      </c>
      <c r="S77" s="13">
        <v>9</v>
      </c>
      <c r="T77" s="13" t="s">
        <v>53</v>
      </c>
      <c r="U77" s="13" t="s">
        <v>62</v>
      </c>
      <c r="V77" s="13">
        <v>8</v>
      </c>
      <c r="W77" s="14" t="s">
        <v>225</v>
      </c>
    </row>
    <row r="78" spans="1:23" ht="18.95" customHeight="1">
      <c r="A78" s="7">
        <v>77</v>
      </c>
      <c r="B78" s="8">
        <v>1978</v>
      </c>
      <c r="C78" s="9" t="s">
        <v>13</v>
      </c>
      <c r="D78" s="10" t="s">
        <v>46</v>
      </c>
      <c r="E78" s="10" t="s">
        <v>36</v>
      </c>
      <c r="F78" s="10" t="s">
        <v>16</v>
      </c>
      <c r="G78" s="10" t="s">
        <v>103</v>
      </c>
      <c r="H78" s="10" t="s">
        <v>18</v>
      </c>
      <c r="I78" s="10" t="s">
        <v>31</v>
      </c>
      <c r="J78" s="10">
        <v>10</v>
      </c>
      <c r="K78" s="10" t="s">
        <v>32</v>
      </c>
      <c r="L78" s="10">
        <v>10</v>
      </c>
      <c r="M78" s="10">
        <v>1</v>
      </c>
      <c r="N78" s="10">
        <v>10</v>
      </c>
      <c r="O78" s="10" t="s">
        <v>21</v>
      </c>
      <c r="P78" s="10">
        <v>2</v>
      </c>
      <c r="Q78" s="10" t="s">
        <v>22</v>
      </c>
      <c r="R78" s="10" t="s">
        <v>29</v>
      </c>
      <c r="S78" s="10">
        <v>10</v>
      </c>
      <c r="T78" s="10" t="s">
        <v>34</v>
      </c>
      <c r="U78" s="10" t="s">
        <v>54</v>
      </c>
      <c r="V78" s="10">
        <v>9</v>
      </c>
      <c r="W78" s="10" t="s">
        <v>226</v>
      </c>
    </row>
    <row r="79" spans="1:23" ht="18.95" customHeight="1">
      <c r="A79" s="7">
        <v>78</v>
      </c>
      <c r="B79" s="12">
        <v>1978</v>
      </c>
      <c r="C79" s="9" t="s">
        <v>13</v>
      </c>
      <c r="D79" s="13" t="s">
        <v>98</v>
      </c>
      <c r="E79" s="13" t="s">
        <v>15</v>
      </c>
      <c r="F79" s="13" t="s">
        <v>57</v>
      </c>
      <c r="G79" s="13" t="s">
        <v>103</v>
      </c>
      <c r="H79" s="13" t="s">
        <v>18</v>
      </c>
      <c r="I79" s="13" t="s">
        <v>170</v>
      </c>
      <c r="J79" s="13">
        <v>7</v>
      </c>
      <c r="K79" s="13" t="s">
        <v>85</v>
      </c>
      <c r="L79" s="13">
        <v>9</v>
      </c>
      <c r="M79" s="13">
        <v>6</v>
      </c>
      <c r="N79" s="13">
        <v>8</v>
      </c>
      <c r="O79" s="13" t="s">
        <v>21</v>
      </c>
      <c r="P79" s="13">
        <v>7</v>
      </c>
      <c r="Q79" s="13" t="s">
        <v>59</v>
      </c>
      <c r="R79" s="13" t="s">
        <v>29</v>
      </c>
      <c r="S79" s="13">
        <v>6</v>
      </c>
      <c r="T79" s="13" t="s">
        <v>34</v>
      </c>
      <c r="U79" s="13" t="s">
        <v>54</v>
      </c>
      <c r="V79" s="13">
        <v>9</v>
      </c>
      <c r="W79" s="13" t="s">
        <v>227</v>
      </c>
    </row>
    <row r="80" spans="1:23" ht="18.95" customHeight="1">
      <c r="A80" s="7">
        <v>79</v>
      </c>
      <c r="B80" s="8">
        <v>1978</v>
      </c>
      <c r="C80" s="9" t="s">
        <v>13</v>
      </c>
      <c r="D80" s="10" t="s">
        <v>46</v>
      </c>
      <c r="E80" s="10" t="s">
        <v>36</v>
      </c>
      <c r="F80" s="10" t="s">
        <v>57</v>
      </c>
      <c r="G80" s="10" t="s">
        <v>17</v>
      </c>
      <c r="H80" s="10" t="s">
        <v>18</v>
      </c>
      <c r="I80" s="10" t="s">
        <v>228</v>
      </c>
      <c r="J80" s="10">
        <v>8</v>
      </c>
      <c r="K80" s="10" t="s">
        <v>20</v>
      </c>
      <c r="L80" s="10">
        <v>9</v>
      </c>
      <c r="M80" s="10">
        <v>9</v>
      </c>
      <c r="N80" s="10">
        <v>8</v>
      </c>
      <c r="O80" s="10" t="s">
        <v>21</v>
      </c>
      <c r="P80" s="10">
        <v>8</v>
      </c>
      <c r="Q80" s="10" t="s">
        <v>229</v>
      </c>
      <c r="R80" s="10" t="s">
        <v>33</v>
      </c>
      <c r="S80" s="10">
        <v>9</v>
      </c>
      <c r="T80" s="10" t="s">
        <v>73</v>
      </c>
      <c r="U80" s="10" t="s">
        <v>62</v>
      </c>
      <c r="V80" s="10">
        <v>6</v>
      </c>
      <c r="W80" s="10" t="s">
        <v>230</v>
      </c>
    </row>
    <row r="81" spans="1:23" ht="18.95" customHeight="1">
      <c r="A81" s="7">
        <v>80</v>
      </c>
      <c r="B81" s="12">
        <v>1978</v>
      </c>
      <c r="C81" s="9" t="s">
        <v>13</v>
      </c>
      <c r="D81" s="13" t="s">
        <v>215</v>
      </c>
      <c r="E81" s="13" t="s">
        <v>28</v>
      </c>
      <c r="F81" s="13" t="s">
        <v>16</v>
      </c>
      <c r="G81" s="13" t="s">
        <v>17</v>
      </c>
      <c r="H81" s="13" t="s">
        <v>18</v>
      </c>
      <c r="I81" s="13" t="s">
        <v>31</v>
      </c>
      <c r="J81" s="13">
        <v>1</v>
      </c>
      <c r="K81" s="13" t="s">
        <v>20</v>
      </c>
      <c r="L81" s="13">
        <v>10</v>
      </c>
      <c r="M81" s="13">
        <v>1</v>
      </c>
      <c r="N81" s="13">
        <v>10</v>
      </c>
      <c r="O81" s="13" t="s">
        <v>21</v>
      </c>
      <c r="P81" s="13">
        <v>1</v>
      </c>
      <c r="Q81" s="13" t="s">
        <v>22</v>
      </c>
      <c r="R81" s="13" t="s">
        <v>174</v>
      </c>
      <c r="S81" s="13">
        <v>10</v>
      </c>
      <c r="T81" s="13" t="s">
        <v>34</v>
      </c>
      <c r="U81" s="13" t="s">
        <v>54</v>
      </c>
      <c r="V81" s="13">
        <v>10</v>
      </c>
      <c r="W81" s="13" t="s">
        <v>231</v>
      </c>
    </row>
    <row r="82" spans="1:23" ht="18.95" customHeight="1">
      <c r="A82" s="7">
        <v>81</v>
      </c>
      <c r="B82" s="8">
        <v>1978</v>
      </c>
      <c r="C82" s="9" t="s">
        <v>13</v>
      </c>
      <c r="D82" s="10" t="s">
        <v>141</v>
      </c>
      <c r="E82" s="10" t="s">
        <v>87</v>
      </c>
      <c r="F82" s="10" t="s">
        <v>57</v>
      </c>
      <c r="G82" s="10" t="s">
        <v>47</v>
      </c>
      <c r="H82" s="10" t="s">
        <v>18</v>
      </c>
      <c r="I82" s="10" t="s">
        <v>19</v>
      </c>
      <c r="J82" s="10">
        <v>9</v>
      </c>
      <c r="K82" s="10" t="s">
        <v>20</v>
      </c>
      <c r="L82" s="10">
        <v>8</v>
      </c>
      <c r="M82" s="10">
        <v>9</v>
      </c>
      <c r="N82" s="10">
        <v>9</v>
      </c>
      <c r="O82" s="10" t="s">
        <v>21</v>
      </c>
      <c r="P82" s="10">
        <v>7</v>
      </c>
      <c r="Q82" s="10" t="s">
        <v>44</v>
      </c>
      <c r="R82" s="10" t="s">
        <v>45</v>
      </c>
      <c r="S82" s="10">
        <v>5</v>
      </c>
      <c r="T82" s="10" t="s">
        <v>153</v>
      </c>
      <c r="U82" s="10" t="s">
        <v>97</v>
      </c>
      <c r="V82" s="10">
        <v>7</v>
      </c>
      <c r="W82" s="10" t="s">
        <v>232</v>
      </c>
    </row>
    <row r="83" spans="1:23" ht="18.95" customHeight="1">
      <c r="A83" s="7">
        <v>82</v>
      </c>
      <c r="B83" s="12">
        <v>1978</v>
      </c>
      <c r="C83" s="9" t="s">
        <v>13</v>
      </c>
      <c r="D83" s="13" t="s">
        <v>168</v>
      </c>
      <c r="E83" s="13" t="s">
        <v>15</v>
      </c>
      <c r="F83" s="13" t="s">
        <v>57</v>
      </c>
      <c r="G83" s="13" t="s">
        <v>103</v>
      </c>
      <c r="H83" s="13" t="s">
        <v>18</v>
      </c>
      <c r="I83" s="13" t="s">
        <v>233</v>
      </c>
      <c r="J83" s="13">
        <v>8</v>
      </c>
      <c r="K83" s="13" t="s">
        <v>20</v>
      </c>
      <c r="L83" s="13">
        <v>10</v>
      </c>
      <c r="M83" s="13">
        <v>1</v>
      </c>
      <c r="N83" s="13">
        <v>10</v>
      </c>
      <c r="O83" s="13" t="s">
        <v>21</v>
      </c>
      <c r="P83" s="13">
        <v>6</v>
      </c>
      <c r="Q83" s="13" t="s">
        <v>59</v>
      </c>
      <c r="R83" s="13" t="s">
        <v>234</v>
      </c>
      <c r="S83" s="13">
        <v>9</v>
      </c>
      <c r="T83" s="13" t="s">
        <v>73</v>
      </c>
      <c r="U83" s="13" t="s">
        <v>80</v>
      </c>
      <c r="V83" s="13">
        <v>5</v>
      </c>
      <c r="W83" s="13" t="s">
        <v>235</v>
      </c>
    </row>
    <row r="84" spans="1:23" ht="18.95" customHeight="1">
      <c r="A84" s="7">
        <v>83</v>
      </c>
      <c r="B84" s="8">
        <v>1978</v>
      </c>
      <c r="C84" s="9" t="s">
        <v>13</v>
      </c>
      <c r="D84" s="10" t="s">
        <v>86</v>
      </c>
      <c r="E84" s="10" t="s">
        <v>87</v>
      </c>
      <c r="F84" s="10" t="s">
        <v>16</v>
      </c>
      <c r="G84" s="10" t="s">
        <v>103</v>
      </c>
      <c r="H84" s="10" t="s">
        <v>18</v>
      </c>
      <c r="I84" s="10" t="s">
        <v>162</v>
      </c>
      <c r="J84" s="10">
        <v>8</v>
      </c>
      <c r="K84" s="10" t="s">
        <v>93</v>
      </c>
      <c r="L84" s="10">
        <v>8</v>
      </c>
      <c r="M84" s="10">
        <v>9</v>
      </c>
      <c r="N84" s="10">
        <v>9</v>
      </c>
      <c r="O84" s="10" t="s">
        <v>21</v>
      </c>
      <c r="P84" s="10">
        <v>9</v>
      </c>
      <c r="Q84" s="10" t="s">
        <v>22</v>
      </c>
      <c r="R84" s="10" t="s">
        <v>33</v>
      </c>
      <c r="S84" s="10">
        <v>9</v>
      </c>
      <c r="T84" s="10" t="s">
        <v>73</v>
      </c>
      <c r="U84" s="10" t="s">
        <v>97</v>
      </c>
      <c r="V84" s="10">
        <v>9</v>
      </c>
      <c r="W84" s="10" t="s">
        <v>236</v>
      </c>
    </row>
    <row r="85" spans="1:23" ht="18.95" customHeight="1">
      <c r="A85" s="7">
        <v>84</v>
      </c>
      <c r="B85" s="12">
        <v>1978</v>
      </c>
      <c r="C85" s="9" t="s">
        <v>13</v>
      </c>
      <c r="D85" s="13" t="s">
        <v>83</v>
      </c>
      <c r="E85" s="13" t="s">
        <v>36</v>
      </c>
      <c r="F85" s="13" t="s">
        <v>57</v>
      </c>
      <c r="G85" s="13" t="s">
        <v>17</v>
      </c>
      <c r="H85" s="13" t="s">
        <v>18</v>
      </c>
      <c r="I85" s="13" t="s">
        <v>108</v>
      </c>
      <c r="J85" s="13">
        <v>5</v>
      </c>
      <c r="K85" s="13" t="s">
        <v>20</v>
      </c>
      <c r="L85" s="13">
        <v>8</v>
      </c>
      <c r="M85" s="13">
        <v>6</v>
      </c>
      <c r="N85" s="13">
        <v>9</v>
      </c>
      <c r="O85" s="13" t="s">
        <v>21</v>
      </c>
      <c r="P85" s="13">
        <v>8</v>
      </c>
      <c r="Q85" s="13" t="s">
        <v>37</v>
      </c>
      <c r="R85" s="13" t="s">
        <v>45</v>
      </c>
      <c r="S85" s="13">
        <v>10</v>
      </c>
      <c r="T85" s="13" t="s">
        <v>34</v>
      </c>
      <c r="U85" s="13" t="s">
        <v>80</v>
      </c>
      <c r="V85" s="13">
        <v>5</v>
      </c>
      <c r="W85" s="13" t="s">
        <v>237</v>
      </c>
    </row>
    <row r="86" spans="1:23" ht="18.95" customHeight="1">
      <c r="A86" s="7">
        <v>85</v>
      </c>
      <c r="B86" s="8">
        <v>1978</v>
      </c>
      <c r="C86" s="9" t="s">
        <v>13</v>
      </c>
      <c r="D86" s="10" t="s">
        <v>89</v>
      </c>
      <c r="E86" s="10" t="s">
        <v>90</v>
      </c>
      <c r="F86" s="10" t="s">
        <v>16</v>
      </c>
      <c r="G86" s="10" t="s">
        <v>17</v>
      </c>
      <c r="H86" s="10" t="s">
        <v>18</v>
      </c>
      <c r="I86" s="10" t="s">
        <v>81</v>
      </c>
      <c r="J86" s="10">
        <v>8</v>
      </c>
      <c r="K86" s="10" t="s">
        <v>93</v>
      </c>
      <c r="L86" s="10">
        <v>9</v>
      </c>
      <c r="M86" s="10">
        <v>9</v>
      </c>
      <c r="N86" s="10">
        <v>9</v>
      </c>
      <c r="O86" s="10" t="s">
        <v>94</v>
      </c>
      <c r="P86" s="10">
        <v>8</v>
      </c>
      <c r="Q86" s="10" t="s">
        <v>37</v>
      </c>
      <c r="R86" s="10" t="s">
        <v>29</v>
      </c>
      <c r="S86" s="10">
        <v>10</v>
      </c>
      <c r="T86" s="10" t="s">
        <v>53</v>
      </c>
      <c r="U86" s="10" t="s">
        <v>54</v>
      </c>
      <c r="V86" s="10">
        <v>10</v>
      </c>
      <c r="W86" s="10" t="s">
        <v>238</v>
      </c>
    </row>
    <row r="87" spans="1:23" ht="18.95" customHeight="1">
      <c r="A87" s="7">
        <v>86</v>
      </c>
      <c r="B87" s="12">
        <v>1978</v>
      </c>
      <c r="C87" s="9" t="s">
        <v>13</v>
      </c>
      <c r="D87" s="13" t="s">
        <v>83</v>
      </c>
      <c r="E87" s="13" t="s">
        <v>36</v>
      </c>
      <c r="F87" s="13" t="s">
        <v>16</v>
      </c>
      <c r="G87" s="13" t="s">
        <v>103</v>
      </c>
      <c r="H87" s="13" t="s">
        <v>18</v>
      </c>
      <c r="I87" s="13" t="s">
        <v>81</v>
      </c>
      <c r="J87" s="13">
        <v>8</v>
      </c>
      <c r="K87" s="13" t="s">
        <v>85</v>
      </c>
      <c r="L87" s="13">
        <v>8</v>
      </c>
      <c r="M87" s="13">
        <v>9</v>
      </c>
      <c r="N87" s="13">
        <v>9</v>
      </c>
      <c r="O87" s="13" t="s">
        <v>94</v>
      </c>
      <c r="P87" s="13">
        <v>7</v>
      </c>
      <c r="Q87" s="13" t="s">
        <v>44</v>
      </c>
      <c r="R87" s="13" t="s">
        <v>29</v>
      </c>
      <c r="S87" s="13">
        <v>9</v>
      </c>
      <c r="T87" s="13" t="s">
        <v>105</v>
      </c>
      <c r="U87" s="13" t="s">
        <v>80</v>
      </c>
      <c r="V87" s="13">
        <v>7</v>
      </c>
      <c r="W87" s="13" t="s">
        <v>239</v>
      </c>
    </row>
    <row r="88" spans="1:23" ht="18.95" customHeight="1">
      <c r="A88" s="7">
        <v>87</v>
      </c>
      <c r="B88" s="8">
        <v>1978</v>
      </c>
      <c r="C88" s="9" t="s">
        <v>13</v>
      </c>
      <c r="D88" s="10" t="s">
        <v>141</v>
      </c>
      <c r="E88" s="10" t="s">
        <v>87</v>
      </c>
      <c r="F88" s="10" t="s">
        <v>57</v>
      </c>
      <c r="G88" s="10" t="s">
        <v>17</v>
      </c>
      <c r="H88" s="10" t="s">
        <v>18</v>
      </c>
      <c r="I88" s="10" t="s">
        <v>84</v>
      </c>
      <c r="J88" s="10">
        <v>8</v>
      </c>
      <c r="K88" s="10" t="s">
        <v>20</v>
      </c>
      <c r="L88" s="10">
        <v>10</v>
      </c>
      <c r="M88" s="10">
        <v>9</v>
      </c>
      <c r="N88" s="10">
        <v>9</v>
      </c>
      <c r="O88" s="10" t="s">
        <v>21</v>
      </c>
      <c r="P88" s="10">
        <v>8</v>
      </c>
      <c r="Q88" s="10" t="s">
        <v>59</v>
      </c>
      <c r="R88" s="10" t="s">
        <v>23</v>
      </c>
      <c r="S88" s="10">
        <v>8</v>
      </c>
      <c r="T88" s="10" t="s">
        <v>34</v>
      </c>
      <c r="U88" s="10" t="s">
        <v>54</v>
      </c>
      <c r="V88" s="10">
        <v>9</v>
      </c>
      <c r="W88" s="10" t="s">
        <v>240</v>
      </c>
    </row>
    <row r="89" spans="1:23" ht="18.95" customHeight="1">
      <c r="A89" s="7">
        <v>88</v>
      </c>
      <c r="B89" s="12">
        <v>1978</v>
      </c>
      <c r="C89" s="9" t="s">
        <v>13</v>
      </c>
      <c r="D89" s="13" t="s">
        <v>137</v>
      </c>
      <c r="E89" s="13" t="s">
        <v>42</v>
      </c>
      <c r="F89" s="13" t="s">
        <v>57</v>
      </c>
      <c r="G89" s="13" t="s">
        <v>103</v>
      </c>
      <c r="H89" s="13" t="s">
        <v>18</v>
      </c>
      <c r="I89" s="13" t="s">
        <v>241</v>
      </c>
      <c r="J89" s="13">
        <v>9</v>
      </c>
      <c r="K89" s="13" t="s">
        <v>20</v>
      </c>
      <c r="L89" s="13">
        <v>10</v>
      </c>
      <c r="M89" s="13">
        <v>9</v>
      </c>
      <c r="N89" s="13">
        <v>9</v>
      </c>
      <c r="O89" s="13" t="s">
        <v>21</v>
      </c>
      <c r="P89" s="13">
        <v>8</v>
      </c>
      <c r="Q89" s="13" t="s">
        <v>22</v>
      </c>
      <c r="R89" s="13" t="s">
        <v>29</v>
      </c>
      <c r="S89" s="13">
        <v>10</v>
      </c>
      <c r="T89" s="13" t="s">
        <v>124</v>
      </c>
      <c r="U89" s="13" t="s">
        <v>54</v>
      </c>
      <c r="V89" s="13">
        <v>10</v>
      </c>
      <c r="W89" s="13" t="s">
        <v>242</v>
      </c>
    </row>
    <row r="90" spans="1:23" ht="18.95" customHeight="1">
      <c r="A90" s="7">
        <v>89</v>
      </c>
      <c r="B90" s="8">
        <v>1978</v>
      </c>
      <c r="C90" s="9" t="s">
        <v>13</v>
      </c>
      <c r="D90" s="10" t="s">
        <v>86</v>
      </c>
      <c r="E90" s="10" t="s">
        <v>87</v>
      </c>
      <c r="F90" s="10" t="s">
        <v>57</v>
      </c>
      <c r="G90" s="10" t="s">
        <v>103</v>
      </c>
      <c r="H90" s="10" t="s">
        <v>18</v>
      </c>
      <c r="I90" s="10" t="s">
        <v>81</v>
      </c>
      <c r="J90" s="10">
        <v>7</v>
      </c>
      <c r="K90" s="10" t="s">
        <v>50</v>
      </c>
      <c r="L90" s="10">
        <v>10</v>
      </c>
      <c r="M90" s="10">
        <v>1</v>
      </c>
      <c r="N90" s="10">
        <v>10</v>
      </c>
      <c r="O90" s="10" t="s">
        <v>21</v>
      </c>
      <c r="P90" s="10">
        <v>3</v>
      </c>
      <c r="Q90" s="10" t="s">
        <v>22</v>
      </c>
      <c r="R90" s="10" t="s">
        <v>29</v>
      </c>
      <c r="S90" s="10">
        <v>10</v>
      </c>
      <c r="T90" s="10" t="s">
        <v>25</v>
      </c>
      <c r="U90" s="10" t="s">
        <v>97</v>
      </c>
      <c r="V90" s="10">
        <v>9</v>
      </c>
      <c r="W90" s="10" t="s">
        <v>243</v>
      </c>
    </row>
    <row r="91" spans="1:23" ht="18.95" customHeight="1">
      <c r="A91" s="7">
        <v>90</v>
      </c>
      <c r="B91" s="12">
        <v>1978</v>
      </c>
      <c r="C91" s="9" t="s">
        <v>13</v>
      </c>
      <c r="D91" s="13" t="s">
        <v>203</v>
      </c>
      <c r="E91" s="13" t="s">
        <v>75</v>
      </c>
      <c r="F91" s="13" t="s">
        <v>16</v>
      </c>
      <c r="G91" s="13" t="s">
        <v>47</v>
      </c>
      <c r="H91" s="13" t="s">
        <v>18</v>
      </c>
      <c r="I91" s="13" t="s">
        <v>244</v>
      </c>
      <c r="J91" s="13">
        <v>4</v>
      </c>
      <c r="K91" s="13" t="s">
        <v>20</v>
      </c>
      <c r="L91" s="13">
        <v>7</v>
      </c>
      <c r="M91" s="13">
        <v>3</v>
      </c>
      <c r="N91" s="13">
        <v>3</v>
      </c>
      <c r="O91" s="13" t="s">
        <v>21</v>
      </c>
      <c r="P91" s="13">
        <v>4</v>
      </c>
      <c r="Q91" s="13" t="s">
        <v>37</v>
      </c>
      <c r="R91" s="13" t="s">
        <v>23</v>
      </c>
      <c r="S91" s="13">
        <v>8</v>
      </c>
      <c r="T91" s="13" t="s">
        <v>25</v>
      </c>
      <c r="U91" s="13" t="s">
        <v>68</v>
      </c>
      <c r="V91" s="13">
        <v>9</v>
      </c>
      <c r="W91" s="13" t="s">
        <v>245</v>
      </c>
    </row>
    <row r="92" spans="1:23" ht="18.95" customHeight="1">
      <c r="A92" s="7">
        <v>91</v>
      </c>
      <c r="B92" s="8">
        <v>1978</v>
      </c>
      <c r="C92" s="9" t="s">
        <v>13</v>
      </c>
      <c r="D92" s="10" t="s">
        <v>246</v>
      </c>
      <c r="E92" s="10" t="s">
        <v>75</v>
      </c>
      <c r="F92" s="10" t="s">
        <v>57</v>
      </c>
      <c r="G92" s="10" t="s">
        <v>47</v>
      </c>
      <c r="H92" s="10" t="s">
        <v>18</v>
      </c>
      <c r="I92" s="10" t="s">
        <v>247</v>
      </c>
      <c r="J92" s="10">
        <v>10</v>
      </c>
      <c r="K92" s="10" t="s">
        <v>20</v>
      </c>
      <c r="L92" s="10">
        <v>10</v>
      </c>
      <c r="M92" s="10">
        <v>1</v>
      </c>
      <c r="N92" s="10">
        <v>7</v>
      </c>
      <c r="O92" s="10" t="s">
        <v>21</v>
      </c>
      <c r="P92" s="10">
        <v>9</v>
      </c>
      <c r="Q92" s="10" t="s">
        <v>44</v>
      </c>
      <c r="R92" s="10" t="s">
        <v>248</v>
      </c>
      <c r="S92" s="10">
        <v>10</v>
      </c>
      <c r="T92" s="10" t="s">
        <v>105</v>
      </c>
      <c r="U92" s="10" t="s">
        <v>26</v>
      </c>
      <c r="V92" s="10">
        <v>9</v>
      </c>
      <c r="W92" s="10" t="s">
        <v>186</v>
      </c>
    </row>
    <row r="93" spans="1:23" ht="18.95" customHeight="1">
      <c r="A93" s="7">
        <v>92</v>
      </c>
      <c r="B93" s="12">
        <v>1978</v>
      </c>
      <c r="C93" s="9" t="s">
        <v>13</v>
      </c>
      <c r="D93" s="13" t="s">
        <v>82</v>
      </c>
      <c r="E93" s="13" t="s">
        <v>75</v>
      </c>
      <c r="F93" s="13" t="s">
        <v>57</v>
      </c>
      <c r="G93" s="13" t="s">
        <v>47</v>
      </c>
      <c r="H93" s="13" t="s">
        <v>18</v>
      </c>
      <c r="I93" s="13" t="s">
        <v>208</v>
      </c>
      <c r="J93" s="13">
        <v>10</v>
      </c>
      <c r="K93" s="13" t="s">
        <v>20</v>
      </c>
      <c r="L93" s="13">
        <v>10</v>
      </c>
      <c r="M93" s="13">
        <v>5</v>
      </c>
      <c r="N93" s="13">
        <v>7</v>
      </c>
      <c r="O93" s="13" t="s">
        <v>21</v>
      </c>
      <c r="P93" s="13">
        <v>8</v>
      </c>
      <c r="Q93" s="13" t="s">
        <v>64</v>
      </c>
      <c r="R93" s="13" t="s">
        <v>45</v>
      </c>
      <c r="S93" s="13">
        <v>10</v>
      </c>
      <c r="T93" s="13" t="s">
        <v>25</v>
      </c>
      <c r="U93" s="13" t="s">
        <v>97</v>
      </c>
      <c r="V93" s="13">
        <v>10</v>
      </c>
      <c r="W93" s="13" t="s">
        <v>249</v>
      </c>
    </row>
    <row r="94" spans="1:23" ht="18.95" customHeight="1">
      <c r="A94" s="7">
        <v>93</v>
      </c>
      <c r="B94" s="8">
        <v>1979</v>
      </c>
      <c r="C94" s="9" t="s">
        <v>13</v>
      </c>
      <c r="D94" s="10" t="s">
        <v>147</v>
      </c>
      <c r="E94" s="10" t="s">
        <v>36</v>
      </c>
      <c r="F94" s="10" t="s">
        <v>57</v>
      </c>
      <c r="G94" s="10" t="s">
        <v>103</v>
      </c>
      <c r="H94" s="10" t="s">
        <v>18</v>
      </c>
      <c r="I94" s="10" t="s">
        <v>162</v>
      </c>
      <c r="J94" s="10">
        <v>2</v>
      </c>
      <c r="K94" s="10" t="s">
        <v>20</v>
      </c>
      <c r="L94" s="10">
        <v>9</v>
      </c>
      <c r="M94" s="10">
        <v>1</v>
      </c>
      <c r="N94" s="10">
        <v>2</v>
      </c>
      <c r="O94" s="10" t="s">
        <v>21</v>
      </c>
      <c r="P94" s="10">
        <v>3</v>
      </c>
      <c r="Q94" s="10" t="s">
        <v>44</v>
      </c>
      <c r="R94" s="10" t="s">
        <v>51</v>
      </c>
      <c r="S94" s="10">
        <v>10</v>
      </c>
      <c r="T94" s="10" t="s">
        <v>73</v>
      </c>
      <c r="U94" s="10" t="s">
        <v>80</v>
      </c>
      <c r="V94" s="10">
        <v>9</v>
      </c>
      <c r="W94" s="11" t="s">
        <v>252</v>
      </c>
    </row>
    <row r="95" spans="1:23" ht="18.95" customHeight="1">
      <c r="A95" s="7">
        <v>94</v>
      </c>
      <c r="B95" s="12">
        <v>1979</v>
      </c>
      <c r="C95" s="9" t="s">
        <v>13</v>
      </c>
      <c r="D95" s="13" t="s">
        <v>122</v>
      </c>
      <c r="E95" s="13" t="s">
        <v>28</v>
      </c>
      <c r="F95" s="13" t="s">
        <v>57</v>
      </c>
      <c r="G95" s="13" t="s">
        <v>17</v>
      </c>
      <c r="H95" s="13" t="s">
        <v>18</v>
      </c>
      <c r="I95" s="13" t="s">
        <v>49</v>
      </c>
      <c r="J95" s="13">
        <v>8</v>
      </c>
      <c r="K95" s="13" t="s">
        <v>93</v>
      </c>
      <c r="L95" s="13">
        <v>10</v>
      </c>
      <c r="M95" s="13">
        <v>9</v>
      </c>
      <c r="N95" s="13">
        <v>10</v>
      </c>
      <c r="O95" s="13" t="s">
        <v>21</v>
      </c>
      <c r="P95" s="13">
        <v>5</v>
      </c>
      <c r="Q95" s="13" t="s">
        <v>22</v>
      </c>
      <c r="R95" s="13" t="s">
        <v>224</v>
      </c>
      <c r="S95" s="13">
        <v>10</v>
      </c>
      <c r="T95" s="13" t="s">
        <v>34</v>
      </c>
      <c r="U95" s="13" t="s">
        <v>54</v>
      </c>
      <c r="V95" s="13">
        <v>9</v>
      </c>
      <c r="W95" s="14" t="s">
        <v>253</v>
      </c>
    </row>
    <row r="96" spans="1:23" ht="18.95" customHeight="1">
      <c r="A96" s="7">
        <v>95</v>
      </c>
      <c r="B96" s="8">
        <v>1979</v>
      </c>
      <c r="C96" s="9" t="s">
        <v>13</v>
      </c>
      <c r="D96" s="10" t="s">
        <v>246</v>
      </c>
      <c r="E96" s="10" t="s">
        <v>75</v>
      </c>
      <c r="F96" s="10" t="s">
        <v>16</v>
      </c>
      <c r="G96" s="10" t="s">
        <v>17</v>
      </c>
      <c r="H96" s="10" t="s">
        <v>18</v>
      </c>
      <c r="I96" s="10" t="s">
        <v>254</v>
      </c>
      <c r="J96" s="10">
        <v>7</v>
      </c>
      <c r="K96" s="10" t="s">
        <v>93</v>
      </c>
      <c r="L96" s="10">
        <v>10</v>
      </c>
      <c r="M96" s="10">
        <v>10</v>
      </c>
      <c r="N96" s="10">
        <v>9</v>
      </c>
      <c r="O96" s="10" t="s">
        <v>21</v>
      </c>
      <c r="P96" s="10">
        <v>7</v>
      </c>
      <c r="Q96" s="10" t="s">
        <v>37</v>
      </c>
      <c r="R96" s="10" t="s">
        <v>117</v>
      </c>
      <c r="S96" s="10">
        <v>9</v>
      </c>
      <c r="T96" s="10" t="s">
        <v>34</v>
      </c>
      <c r="U96" s="10" t="s">
        <v>68</v>
      </c>
      <c r="V96" s="10">
        <v>7</v>
      </c>
      <c r="W96" s="11" t="s">
        <v>255</v>
      </c>
    </row>
    <row r="97" spans="1:23" ht="18.95" customHeight="1">
      <c r="A97" s="7">
        <v>96</v>
      </c>
      <c r="B97" s="12">
        <v>1979</v>
      </c>
      <c r="C97" s="9" t="s">
        <v>13</v>
      </c>
      <c r="D97" s="13" t="s">
        <v>27</v>
      </c>
      <c r="E97" s="13" t="s">
        <v>28</v>
      </c>
      <c r="F97" s="13" t="s">
        <v>16</v>
      </c>
      <c r="G97" s="13" t="s">
        <v>17</v>
      </c>
      <c r="H97" s="13" t="s">
        <v>18</v>
      </c>
      <c r="I97" s="13" t="s">
        <v>31</v>
      </c>
      <c r="J97" s="13">
        <v>3</v>
      </c>
      <c r="K97" s="13" t="s">
        <v>32</v>
      </c>
      <c r="L97" s="13">
        <v>10</v>
      </c>
      <c r="M97" s="13">
        <v>2</v>
      </c>
      <c r="N97" s="13">
        <v>10</v>
      </c>
      <c r="O97" s="13" t="s">
        <v>21</v>
      </c>
      <c r="P97" s="13">
        <v>2</v>
      </c>
      <c r="Q97" s="13" t="s">
        <v>22</v>
      </c>
      <c r="R97" s="13" t="s">
        <v>29</v>
      </c>
      <c r="S97" s="13">
        <v>9</v>
      </c>
      <c r="T97" s="13" t="s">
        <v>34</v>
      </c>
      <c r="U97" s="13" t="s">
        <v>26</v>
      </c>
      <c r="V97" s="13">
        <v>9</v>
      </c>
      <c r="W97" s="14" t="s">
        <v>256</v>
      </c>
    </row>
    <row r="98" spans="1:23" ht="18.95" customHeight="1">
      <c r="A98" s="7">
        <v>97</v>
      </c>
      <c r="B98" s="8">
        <v>1979</v>
      </c>
      <c r="C98" s="9" t="s">
        <v>13</v>
      </c>
      <c r="D98" s="10" t="s">
        <v>89</v>
      </c>
      <c r="E98" s="10" t="s">
        <v>90</v>
      </c>
      <c r="F98" s="10" t="s">
        <v>57</v>
      </c>
      <c r="G98" s="10" t="s">
        <v>17</v>
      </c>
      <c r="H98" s="10" t="s">
        <v>18</v>
      </c>
      <c r="I98" s="10" t="s">
        <v>84</v>
      </c>
      <c r="J98" s="10">
        <v>10</v>
      </c>
      <c r="K98" s="10" t="s">
        <v>50</v>
      </c>
      <c r="L98" s="10">
        <v>10</v>
      </c>
      <c r="M98" s="10">
        <v>10</v>
      </c>
      <c r="N98" s="10">
        <v>10</v>
      </c>
      <c r="O98" s="10" t="s">
        <v>94</v>
      </c>
      <c r="P98" s="10">
        <v>10</v>
      </c>
      <c r="Q98" s="10" t="s">
        <v>59</v>
      </c>
      <c r="R98" s="10" t="s">
        <v>29</v>
      </c>
      <c r="S98" s="10">
        <v>10</v>
      </c>
      <c r="T98" s="10" t="s">
        <v>39</v>
      </c>
      <c r="U98" s="10" t="s">
        <v>97</v>
      </c>
      <c r="V98" s="10">
        <v>10</v>
      </c>
      <c r="W98" s="11" t="s">
        <v>257</v>
      </c>
    </row>
    <row r="99" spans="1:23" ht="18.95" customHeight="1">
      <c r="A99" s="7">
        <v>98</v>
      </c>
      <c r="B99" s="12">
        <v>1979</v>
      </c>
      <c r="C99" s="9" t="s">
        <v>13</v>
      </c>
      <c r="D99" s="13" t="s">
        <v>258</v>
      </c>
      <c r="E99" s="13" t="s">
        <v>87</v>
      </c>
      <c r="F99" s="13" t="s">
        <v>57</v>
      </c>
      <c r="G99" s="13" t="s">
        <v>47</v>
      </c>
      <c r="H99" s="13" t="s">
        <v>18</v>
      </c>
      <c r="I99" s="13" t="s">
        <v>84</v>
      </c>
      <c r="J99" s="13">
        <v>8</v>
      </c>
      <c r="K99" s="13" t="s">
        <v>85</v>
      </c>
      <c r="L99" s="13">
        <v>9</v>
      </c>
      <c r="M99" s="13">
        <v>10</v>
      </c>
      <c r="N99" s="13">
        <v>10</v>
      </c>
      <c r="O99" s="13" t="s">
        <v>21</v>
      </c>
      <c r="P99" s="13">
        <v>5</v>
      </c>
      <c r="Q99" s="13" t="s">
        <v>125</v>
      </c>
      <c r="R99" s="13" t="s">
        <v>259</v>
      </c>
      <c r="S99" s="13">
        <v>9</v>
      </c>
      <c r="T99" s="13" t="s">
        <v>34</v>
      </c>
      <c r="U99" s="13" t="s">
        <v>140</v>
      </c>
      <c r="V99" s="13">
        <v>8</v>
      </c>
      <c r="W99" s="14" t="s">
        <v>260</v>
      </c>
    </row>
    <row r="100" spans="1:23" ht="18.95" customHeight="1">
      <c r="A100" s="7">
        <v>99</v>
      </c>
      <c r="B100" s="8">
        <v>1979</v>
      </c>
      <c r="C100" s="9" t="s">
        <v>13</v>
      </c>
      <c r="D100" s="10" t="s">
        <v>246</v>
      </c>
      <c r="E100" s="10" t="s">
        <v>75</v>
      </c>
      <c r="F100" s="10" t="s">
        <v>16</v>
      </c>
      <c r="G100" s="10" t="s">
        <v>103</v>
      </c>
      <c r="H100" s="10" t="s">
        <v>18</v>
      </c>
      <c r="I100" s="10" t="s">
        <v>81</v>
      </c>
      <c r="J100" s="10">
        <v>8</v>
      </c>
      <c r="K100" s="10" t="s">
        <v>20</v>
      </c>
      <c r="L100" s="10">
        <v>8</v>
      </c>
      <c r="M100" s="10">
        <v>1</v>
      </c>
      <c r="N100" s="10">
        <v>9</v>
      </c>
      <c r="O100" s="10" t="s">
        <v>21</v>
      </c>
      <c r="P100" s="10">
        <v>5</v>
      </c>
      <c r="Q100" s="10" t="s">
        <v>22</v>
      </c>
      <c r="R100" s="10" t="s">
        <v>38</v>
      </c>
      <c r="S100" s="10">
        <v>2</v>
      </c>
      <c r="T100" s="10" t="s">
        <v>73</v>
      </c>
      <c r="U100" s="10" t="s">
        <v>97</v>
      </c>
      <c r="V100" s="10">
        <v>8</v>
      </c>
      <c r="W100" s="10" t="s">
        <v>261</v>
      </c>
    </row>
    <row r="101" spans="1:23" ht="18.95" customHeight="1">
      <c r="A101" s="7">
        <v>100</v>
      </c>
      <c r="B101" s="12">
        <v>1979</v>
      </c>
      <c r="C101" s="9" t="s">
        <v>13</v>
      </c>
      <c r="D101" s="13" t="s">
        <v>141</v>
      </c>
      <c r="E101" s="13" t="s">
        <v>87</v>
      </c>
      <c r="F101" s="13" t="s">
        <v>57</v>
      </c>
      <c r="G101" s="13" t="s">
        <v>17</v>
      </c>
      <c r="H101" s="13" t="s">
        <v>18</v>
      </c>
      <c r="I101" s="13" t="s">
        <v>76</v>
      </c>
      <c r="J101" s="13">
        <v>9</v>
      </c>
      <c r="K101" s="13" t="s">
        <v>20</v>
      </c>
      <c r="L101" s="13">
        <v>10</v>
      </c>
      <c r="M101" s="13">
        <v>10</v>
      </c>
      <c r="N101" s="13">
        <v>10</v>
      </c>
      <c r="O101" s="13" t="s">
        <v>21</v>
      </c>
      <c r="P101" s="13">
        <v>3</v>
      </c>
      <c r="Q101" s="13" t="s">
        <v>59</v>
      </c>
      <c r="R101" s="13" t="s">
        <v>29</v>
      </c>
      <c r="S101" s="13">
        <v>10</v>
      </c>
      <c r="T101" s="13" t="s">
        <v>34</v>
      </c>
      <c r="U101" s="13" t="s">
        <v>54</v>
      </c>
      <c r="V101" s="13">
        <v>10</v>
      </c>
      <c r="W101" s="13" t="s">
        <v>262</v>
      </c>
    </row>
    <row r="102" spans="1:23" ht="18.95" customHeight="1">
      <c r="A102" s="7">
        <v>101</v>
      </c>
      <c r="B102" s="8">
        <v>1979</v>
      </c>
      <c r="C102" s="9" t="s">
        <v>13</v>
      </c>
      <c r="D102" s="10" t="s">
        <v>95</v>
      </c>
      <c r="E102" s="10" t="s">
        <v>42</v>
      </c>
      <c r="F102" s="10" t="s">
        <v>57</v>
      </c>
      <c r="G102" s="10" t="s">
        <v>17</v>
      </c>
      <c r="H102" s="10" t="s">
        <v>18</v>
      </c>
      <c r="I102" s="10" t="s">
        <v>263</v>
      </c>
      <c r="J102" s="10">
        <v>9</v>
      </c>
      <c r="K102" s="10" t="s">
        <v>20</v>
      </c>
      <c r="L102" s="10">
        <v>10</v>
      </c>
      <c r="M102" s="10">
        <v>10</v>
      </c>
      <c r="N102" s="10">
        <v>10</v>
      </c>
      <c r="O102" s="10" t="s">
        <v>21</v>
      </c>
      <c r="P102" s="10">
        <v>2</v>
      </c>
      <c r="Q102" s="10" t="s">
        <v>22</v>
      </c>
      <c r="R102" s="10" t="s">
        <v>29</v>
      </c>
      <c r="S102" s="10">
        <v>10</v>
      </c>
      <c r="T102" s="10" t="s">
        <v>265</v>
      </c>
      <c r="U102" s="10" t="s">
        <v>97</v>
      </c>
      <c r="V102" s="10">
        <v>10</v>
      </c>
      <c r="W102" s="10" t="s">
        <v>264</v>
      </c>
    </row>
    <row r="103" spans="1:23" ht="18.95" customHeight="1">
      <c r="A103" s="7">
        <v>102</v>
      </c>
      <c r="B103" s="12">
        <v>1979</v>
      </c>
      <c r="C103" s="9" t="s">
        <v>13</v>
      </c>
      <c r="D103" s="13" t="s">
        <v>246</v>
      </c>
      <c r="E103" s="13" t="s">
        <v>75</v>
      </c>
      <c r="F103" s="13" t="s">
        <v>57</v>
      </c>
      <c r="G103" s="13" t="s">
        <v>17</v>
      </c>
      <c r="H103" s="13" t="s">
        <v>48</v>
      </c>
      <c r="I103" s="13" t="s">
        <v>81</v>
      </c>
      <c r="J103" s="13">
        <v>3</v>
      </c>
      <c r="K103" s="13" t="s">
        <v>20</v>
      </c>
      <c r="L103" s="13">
        <v>10</v>
      </c>
      <c r="M103" s="13">
        <v>10</v>
      </c>
      <c r="N103" s="13">
        <v>10</v>
      </c>
      <c r="O103" s="13" t="s">
        <v>21</v>
      </c>
      <c r="P103" s="13">
        <v>5</v>
      </c>
      <c r="Q103" s="13" t="s">
        <v>22</v>
      </c>
      <c r="R103" s="13" t="s">
        <v>45</v>
      </c>
      <c r="S103" s="13">
        <v>10</v>
      </c>
      <c r="T103" s="13" t="s">
        <v>53</v>
      </c>
      <c r="U103" s="13" t="s">
        <v>54</v>
      </c>
      <c r="V103" s="13">
        <v>10</v>
      </c>
      <c r="W103" s="13" t="s">
        <v>266</v>
      </c>
    </row>
    <row r="104" spans="1:23" ht="18.95" customHeight="1">
      <c r="A104" s="7">
        <v>103</v>
      </c>
      <c r="B104" s="8">
        <v>1979</v>
      </c>
      <c r="C104" s="9" t="s">
        <v>13</v>
      </c>
      <c r="D104" s="10" t="s">
        <v>222</v>
      </c>
      <c r="E104" s="10" t="s">
        <v>56</v>
      </c>
      <c r="F104" s="10" t="s">
        <v>57</v>
      </c>
      <c r="G104" s="10" t="s">
        <v>47</v>
      </c>
      <c r="H104" s="10" t="s">
        <v>18</v>
      </c>
      <c r="I104" s="10" t="s">
        <v>19</v>
      </c>
      <c r="J104" s="10">
        <v>9</v>
      </c>
      <c r="K104" s="10" t="s">
        <v>20</v>
      </c>
      <c r="L104" s="10">
        <v>7</v>
      </c>
      <c r="M104" s="10">
        <v>9</v>
      </c>
      <c r="N104" s="10">
        <v>7</v>
      </c>
      <c r="O104" s="10" t="s">
        <v>21</v>
      </c>
      <c r="P104" s="10">
        <v>9</v>
      </c>
      <c r="Q104" s="10" t="s">
        <v>64</v>
      </c>
      <c r="R104" s="10" t="s">
        <v>45</v>
      </c>
      <c r="S104" s="10">
        <v>10</v>
      </c>
      <c r="T104" s="10" t="s">
        <v>251</v>
      </c>
      <c r="U104" s="10" t="s">
        <v>80</v>
      </c>
      <c r="V104" s="10">
        <v>9</v>
      </c>
      <c r="W104" s="10" t="s">
        <v>267</v>
      </c>
    </row>
    <row r="105" spans="1:23" ht="18.95" customHeight="1">
      <c r="A105" s="7">
        <v>104</v>
      </c>
      <c r="B105" s="12">
        <v>1979</v>
      </c>
      <c r="C105" s="9" t="s">
        <v>13</v>
      </c>
      <c r="D105" s="13" t="s">
        <v>89</v>
      </c>
      <c r="E105" s="13" t="s">
        <v>90</v>
      </c>
      <c r="F105" s="13" t="s">
        <v>16</v>
      </c>
      <c r="G105" s="13" t="s">
        <v>103</v>
      </c>
      <c r="H105" s="13" t="s">
        <v>18</v>
      </c>
      <c r="I105" s="13" t="s">
        <v>268</v>
      </c>
      <c r="J105" s="13">
        <v>10</v>
      </c>
      <c r="K105" s="13" t="s">
        <v>93</v>
      </c>
      <c r="L105" s="13">
        <v>10</v>
      </c>
      <c r="M105" s="13">
        <v>10</v>
      </c>
      <c r="N105" s="13">
        <v>10</v>
      </c>
      <c r="O105" s="13" t="s">
        <v>94</v>
      </c>
      <c r="P105" s="13">
        <v>1</v>
      </c>
      <c r="Q105" s="13" t="s">
        <v>269</v>
      </c>
      <c r="R105" s="13" t="s">
        <v>270</v>
      </c>
      <c r="S105" s="13">
        <v>10</v>
      </c>
      <c r="T105" s="13" t="s">
        <v>53</v>
      </c>
      <c r="U105" s="13" t="s">
        <v>97</v>
      </c>
      <c r="V105" s="13">
        <v>10</v>
      </c>
      <c r="W105" s="13" t="s">
        <v>271</v>
      </c>
    </row>
    <row r="106" spans="1:23" ht="18.95" customHeight="1">
      <c r="A106" s="7">
        <v>105</v>
      </c>
      <c r="B106" s="8">
        <v>1979</v>
      </c>
      <c r="C106" s="9" t="s">
        <v>13</v>
      </c>
      <c r="D106" s="10" t="s">
        <v>95</v>
      </c>
      <c r="E106" s="10" t="s">
        <v>42</v>
      </c>
      <c r="F106" s="10" t="s">
        <v>57</v>
      </c>
      <c r="G106" s="10" t="s">
        <v>103</v>
      </c>
      <c r="H106" s="10" t="s">
        <v>18</v>
      </c>
      <c r="I106" s="10" t="s">
        <v>272</v>
      </c>
      <c r="J106" s="10">
        <v>9</v>
      </c>
      <c r="K106" s="10" t="s">
        <v>20</v>
      </c>
      <c r="L106" s="10">
        <v>9</v>
      </c>
      <c r="M106" s="10">
        <v>2</v>
      </c>
      <c r="N106" s="10">
        <v>9</v>
      </c>
      <c r="O106" s="10" t="s">
        <v>21</v>
      </c>
      <c r="P106" s="10">
        <v>5</v>
      </c>
      <c r="Q106" s="10" t="s">
        <v>44</v>
      </c>
      <c r="R106" s="10" t="s">
        <v>45</v>
      </c>
      <c r="S106" s="10">
        <v>10</v>
      </c>
      <c r="T106" s="10" t="s">
        <v>53</v>
      </c>
      <c r="U106" s="10" t="s">
        <v>80</v>
      </c>
      <c r="V106" s="10">
        <v>9</v>
      </c>
      <c r="W106" s="10" t="s">
        <v>273</v>
      </c>
    </row>
    <row r="107" spans="1:23" ht="18.95" customHeight="1">
      <c r="A107" s="7">
        <v>106</v>
      </c>
      <c r="B107" s="12">
        <v>1979</v>
      </c>
      <c r="C107" s="9" t="s">
        <v>13</v>
      </c>
      <c r="D107" s="13" t="s">
        <v>89</v>
      </c>
      <c r="E107" s="13" t="s">
        <v>90</v>
      </c>
      <c r="F107" s="13" t="s">
        <v>57</v>
      </c>
      <c r="G107" s="13" t="s">
        <v>47</v>
      </c>
      <c r="H107" s="13" t="s">
        <v>18</v>
      </c>
      <c r="I107" s="13" t="s">
        <v>274</v>
      </c>
      <c r="J107" s="13">
        <v>9</v>
      </c>
      <c r="K107" s="13" t="s">
        <v>20</v>
      </c>
      <c r="L107" s="13">
        <v>10</v>
      </c>
      <c r="M107" s="13">
        <v>1</v>
      </c>
      <c r="N107" s="13">
        <v>10</v>
      </c>
      <c r="O107" s="13" t="s">
        <v>21</v>
      </c>
      <c r="P107" s="13">
        <v>7</v>
      </c>
      <c r="Q107" s="13" t="s">
        <v>44</v>
      </c>
      <c r="R107" s="13" t="s">
        <v>45</v>
      </c>
      <c r="S107" s="13">
        <v>10</v>
      </c>
      <c r="T107" s="13" t="s">
        <v>276</v>
      </c>
      <c r="U107" s="13" t="s">
        <v>54</v>
      </c>
      <c r="V107" s="13">
        <v>10</v>
      </c>
      <c r="W107" s="13" t="s">
        <v>275</v>
      </c>
    </row>
    <row r="108" spans="1:23" ht="18.95" customHeight="1">
      <c r="A108" s="7">
        <v>107</v>
      </c>
      <c r="B108" s="8">
        <v>1979</v>
      </c>
      <c r="C108" s="9" t="s">
        <v>13</v>
      </c>
      <c r="D108" s="10" t="s">
        <v>86</v>
      </c>
      <c r="E108" s="10" t="s">
        <v>87</v>
      </c>
      <c r="F108" s="10" t="s">
        <v>57</v>
      </c>
      <c r="G108" s="10" t="s">
        <v>47</v>
      </c>
      <c r="H108" s="10" t="s">
        <v>18</v>
      </c>
      <c r="I108" s="10" t="s">
        <v>277</v>
      </c>
      <c r="J108" s="10">
        <v>7</v>
      </c>
      <c r="K108" s="10" t="s">
        <v>20</v>
      </c>
      <c r="L108" s="10">
        <v>10</v>
      </c>
      <c r="M108" s="10">
        <v>10</v>
      </c>
      <c r="N108" s="10">
        <v>8</v>
      </c>
      <c r="O108" s="10" t="s">
        <v>21</v>
      </c>
      <c r="P108" s="10">
        <v>8</v>
      </c>
      <c r="Q108" s="10" t="s">
        <v>44</v>
      </c>
      <c r="R108" s="10" t="s">
        <v>45</v>
      </c>
      <c r="S108" s="10">
        <v>1</v>
      </c>
      <c r="T108" s="10" t="s">
        <v>34</v>
      </c>
      <c r="U108" s="10" t="s">
        <v>26</v>
      </c>
      <c r="V108" s="10">
        <v>10</v>
      </c>
      <c r="W108" s="10" t="s">
        <v>278</v>
      </c>
    </row>
    <row r="109" spans="1:23" ht="18.95" customHeight="1">
      <c r="A109" s="7">
        <v>108</v>
      </c>
      <c r="B109" s="12">
        <v>1979</v>
      </c>
      <c r="C109" s="9" t="s">
        <v>13</v>
      </c>
      <c r="D109" s="13" t="s">
        <v>35</v>
      </c>
      <c r="E109" s="13" t="s">
        <v>36</v>
      </c>
      <c r="F109" s="13" t="s">
        <v>57</v>
      </c>
      <c r="G109" s="13" t="s">
        <v>103</v>
      </c>
      <c r="H109" s="13" t="s">
        <v>18</v>
      </c>
      <c r="I109" s="13" t="s">
        <v>76</v>
      </c>
      <c r="J109" s="13">
        <v>6</v>
      </c>
      <c r="K109" s="13" t="s">
        <v>50</v>
      </c>
      <c r="L109" s="13">
        <v>9</v>
      </c>
      <c r="M109" s="13">
        <v>6</v>
      </c>
      <c r="N109" s="13">
        <v>9</v>
      </c>
      <c r="O109" s="13" t="s">
        <v>94</v>
      </c>
      <c r="P109" s="13">
        <v>9</v>
      </c>
      <c r="Q109" s="13" t="s">
        <v>22</v>
      </c>
      <c r="R109" s="13" t="s">
        <v>29</v>
      </c>
      <c r="S109" s="13">
        <v>8</v>
      </c>
      <c r="T109" s="13" t="s">
        <v>34</v>
      </c>
      <c r="U109" s="13" t="s">
        <v>68</v>
      </c>
      <c r="V109" s="13">
        <v>7</v>
      </c>
      <c r="W109" s="13" t="s">
        <v>279</v>
      </c>
    </row>
    <row r="110" spans="1:23" ht="18.95" customHeight="1">
      <c r="A110" s="7">
        <v>109</v>
      </c>
      <c r="B110" s="8">
        <v>1979</v>
      </c>
      <c r="C110" s="9" t="s">
        <v>13</v>
      </c>
      <c r="D110" s="10" t="s">
        <v>203</v>
      </c>
      <c r="E110" s="10" t="s">
        <v>75</v>
      </c>
      <c r="F110" s="10" t="s">
        <v>57</v>
      </c>
      <c r="G110" s="10" t="s">
        <v>17</v>
      </c>
      <c r="H110" s="10" t="s">
        <v>18</v>
      </c>
      <c r="I110" s="10" t="s">
        <v>84</v>
      </c>
      <c r="J110" s="10">
        <v>8</v>
      </c>
      <c r="K110" s="10" t="s">
        <v>32</v>
      </c>
      <c r="L110" s="10">
        <v>9</v>
      </c>
      <c r="M110" s="10">
        <v>10</v>
      </c>
      <c r="N110" s="10">
        <v>10</v>
      </c>
      <c r="O110" s="10" t="s">
        <v>21</v>
      </c>
      <c r="P110" s="10">
        <v>8</v>
      </c>
      <c r="Q110" s="10" t="s">
        <v>22</v>
      </c>
      <c r="R110" s="10" t="s">
        <v>23</v>
      </c>
      <c r="S110" s="10">
        <v>7</v>
      </c>
      <c r="T110" s="10" t="s">
        <v>34</v>
      </c>
      <c r="U110" s="10" t="s">
        <v>54</v>
      </c>
      <c r="V110" s="10">
        <v>10</v>
      </c>
      <c r="W110" s="10" t="s">
        <v>280</v>
      </c>
    </row>
    <row r="111" spans="1:23" ht="18.95" customHeight="1">
      <c r="A111" s="7">
        <v>110</v>
      </c>
      <c r="B111" s="12">
        <v>1979</v>
      </c>
      <c r="C111" s="9" t="s">
        <v>13</v>
      </c>
      <c r="D111" s="13" t="s">
        <v>89</v>
      </c>
      <c r="E111" s="13" t="s">
        <v>90</v>
      </c>
      <c r="F111" s="13" t="s">
        <v>57</v>
      </c>
      <c r="G111" s="13" t="s">
        <v>17</v>
      </c>
      <c r="H111" s="13" t="s">
        <v>18</v>
      </c>
      <c r="I111" s="13" t="s">
        <v>81</v>
      </c>
      <c r="J111" s="13">
        <v>8</v>
      </c>
      <c r="K111" s="13" t="s">
        <v>20</v>
      </c>
      <c r="L111" s="13">
        <v>10</v>
      </c>
      <c r="M111" s="13">
        <v>9</v>
      </c>
      <c r="N111" s="13">
        <v>10</v>
      </c>
      <c r="O111" s="13" t="s">
        <v>21</v>
      </c>
      <c r="P111" s="13">
        <v>9</v>
      </c>
      <c r="Q111" s="13" t="s">
        <v>59</v>
      </c>
      <c r="R111" s="13" t="s">
        <v>45</v>
      </c>
      <c r="S111" s="13">
        <v>10</v>
      </c>
      <c r="T111" s="13" t="s">
        <v>282</v>
      </c>
      <c r="U111" s="13" t="s">
        <v>140</v>
      </c>
      <c r="V111" s="13">
        <v>9</v>
      </c>
      <c r="W111" s="13" t="s">
        <v>281</v>
      </c>
    </row>
    <row r="112" spans="1:23" ht="18.95" customHeight="1">
      <c r="A112" s="7">
        <v>111</v>
      </c>
      <c r="B112" s="8">
        <v>1979</v>
      </c>
      <c r="C112" s="9" t="s">
        <v>13</v>
      </c>
      <c r="D112" s="10" t="s">
        <v>119</v>
      </c>
      <c r="E112" s="10" t="s">
        <v>75</v>
      </c>
      <c r="F112" s="10" t="s">
        <v>16</v>
      </c>
      <c r="G112" s="10" t="s">
        <v>103</v>
      </c>
      <c r="H112" s="10" t="s">
        <v>18</v>
      </c>
      <c r="I112" s="10" t="s">
        <v>81</v>
      </c>
      <c r="J112" s="10">
        <v>9</v>
      </c>
      <c r="K112" s="10" t="s">
        <v>20</v>
      </c>
      <c r="L112" s="10">
        <v>10</v>
      </c>
      <c r="M112" s="10">
        <v>1</v>
      </c>
      <c r="N112" s="10">
        <v>9</v>
      </c>
      <c r="O112" s="10" t="s">
        <v>21</v>
      </c>
      <c r="P112" s="10">
        <v>1</v>
      </c>
      <c r="Q112" s="10" t="s">
        <v>22</v>
      </c>
      <c r="R112" s="10" t="s">
        <v>29</v>
      </c>
      <c r="S112" s="10">
        <v>10</v>
      </c>
      <c r="T112" s="10" t="s">
        <v>73</v>
      </c>
      <c r="U112" s="10" t="s">
        <v>54</v>
      </c>
      <c r="V112" s="10">
        <v>10</v>
      </c>
      <c r="W112" s="10" t="s">
        <v>284</v>
      </c>
    </row>
    <row r="113" spans="1:23" ht="18.95" customHeight="1">
      <c r="A113" s="7">
        <v>112</v>
      </c>
      <c r="B113" s="8">
        <v>1979</v>
      </c>
      <c r="C113" s="9" t="s">
        <v>13</v>
      </c>
      <c r="D113" s="10" t="s">
        <v>147</v>
      </c>
      <c r="E113" s="10" t="s">
        <v>36</v>
      </c>
      <c r="F113" s="10" t="s">
        <v>57</v>
      </c>
      <c r="G113" s="10" t="s">
        <v>103</v>
      </c>
      <c r="H113" s="10" t="s">
        <v>18</v>
      </c>
      <c r="I113" s="10" t="s">
        <v>162</v>
      </c>
      <c r="J113" s="10">
        <v>2</v>
      </c>
      <c r="K113" s="10" t="s">
        <v>20</v>
      </c>
      <c r="L113" s="10">
        <v>9</v>
      </c>
      <c r="M113" s="10">
        <v>1</v>
      </c>
      <c r="N113" s="10">
        <v>2</v>
      </c>
      <c r="O113" s="10" t="s">
        <v>21</v>
      </c>
      <c r="P113" s="10">
        <v>3</v>
      </c>
      <c r="Q113" s="10" t="s">
        <v>44</v>
      </c>
      <c r="R113" s="10" t="s">
        <v>51</v>
      </c>
      <c r="S113" s="10">
        <v>10</v>
      </c>
      <c r="T113" s="10" t="s">
        <v>73</v>
      </c>
      <c r="U113" s="10" t="s">
        <v>80</v>
      </c>
      <c r="V113" s="10">
        <v>9</v>
      </c>
      <c r="W113" s="11" t="s">
        <v>252</v>
      </c>
    </row>
    <row r="114" spans="1:23" ht="18.95" customHeight="1">
      <c r="A114" s="7">
        <v>113</v>
      </c>
      <c r="B114" s="12">
        <v>1979</v>
      </c>
      <c r="C114" s="9" t="s">
        <v>13</v>
      </c>
      <c r="D114" s="13" t="s">
        <v>122</v>
      </c>
      <c r="E114" s="13" t="s">
        <v>28</v>
      </c>
      <c r="F114" s="13" t="s">
        <v>57</v>
      </c>
      <c r="G114" s="13" t="s">
        <v>17</v>
      </c>
      <c r="H114" s="13" t="s">
        <v>18</v>
      </c>
      <c r="I114" s="13" t="s">
        <v>49</v>
      </c>
      <c r="J114" s="13">
        <v>8</v>
      </c>
      <c r="K114" s="13" t="s">
        <v>93</v>
      </c>
      <c r="L114" s="13">
        <v>10</v>
      </c>
      <c r="M114" s="13">
        <v>9</v>
      </c>
      <c r="N114" s="13">
        <v>10</v>
      </c>
      <c r="O114" s="13" t="s">
        <v>21</v>
      </c>
      <c r="P114" s="13">
        <v>5</v>
      </c>
      <c r="Q114" s="13" t="s">
        <v>22</v>
      </c>
      <c r="R114" s="13" t="s">
        <v>224</v>
      </c>
      <c r="S114" s="13">
        <v>10</v>
      </c>
      <c r="T114" s="13" t="s">
        <v>34</v>
      </c>
      <c r="U114" s="13" t="s">
        <v>54</v>
      </c>
      <c r="V114" s="13">
        <v>9</v>
      </c>
      <c r="W114" s="14" t="s">
        <v>253</v>
      </c>
    </row>
    <row r="115" spans="1:23" ht="18.95" customHeight="1">
      <c r="A115" s="7">
        <v>114</v>
      </c>
      <c r="B115" s="8">
        <v>1979</v>
      </c>
      <c r="C115" s="9" t="s">
        <v>13</v>
      </c>
      <c r="D115" s="10" t="s">
        <v>246</v>
      </c>
      <c r="E115" s="10" t="s">
        <v>75</v>
      </c>
      <c r="F115" s="10" t="s">
        <v>16</v>
      </c>
      <c r="G115" s="10" t="s">
        <v>17</v>
      </c>
      <c r="H115" s="10" t="s">
        <v>18</v>
      </c>
      <c r="I115" s="10" t="s">
        <v>254</v>
      </c>
      <c r="J115" s="10">
        <v>7</v>
      </c>
      <c r="K115" s="10" t="s">
        <v>93</v>
      </c>
      <c r="L115" s="10">
        <v>10</v>
      </c>
      <c r="M115" s="10">
        <v>10</v>
      </c>
      <c r="N115" s="10">
        <v>9</v>
      </c>
      <c r="O115" s="10" t="s">
        <v>21</v>
      </c>
      <c r="P115" s="10">
        <v>7</v>
      </c>
      <c r="Q115" s="10" t="s">
        <v>37</v>
      </c>
      <c r="R115" s="10" t="s">
        <v>117</v>
      </c>
      <c r="S115" s="10">
        <v>9</v>
      </c>
      <c r="T115" s="10" t="s">
        <v>34</v>
      </c>
      <c r="U115" s="10" t="s">
        <v>68</v>
      </c>
      <c r="V115" s="10">
        <v>7</v>
      </c>
      <c r="W115" s="11" t="s">
        <v>255</v>
      </c>
    </row>
    <row r="116" spans="1:23" ht="18.95" customHeight="1">
      <c r="A116" s="7">
        <v>115</v>
      </c>
      <c r="B116" s="12">
        <v>1979</v>
      </c>
      <c r="C116" s="9" t="s">
        <v>13</v>
      </c>
      <c r="D116" s="13" t="s">
        <v>27</v>
      </c>
      <c r="E116" s="13" t="s">
        <v>28</v>
      </c>
      <c r="F116" s="13" t="s">
        <v>16</v>
      </c>
      <c r="G116" s="13" t="s">
        <v>17</v>
      </c>
      <c r="H116" s="13" t="s">
        <v>18</v>
      </c>
      <c r="I116" s="13" t="s">
        <v>31</v>
      </c>
      <c r="J116" s="13">
        <v>3</v>
      </c>
      <c r="K116" s="13" t="s">
        <v>32</v>
      </c>
      <c r="L116" s="13">
        <v>10</v>
      </c>
      <c r="M116" s="13">
        <v>2</v>
      </c>
      <c r="N116" s="13">
        <v>10</v>
      </c>
      <c r="O116" s="13" t="s">
        <v>21</v>
      </c>
      <c r="P116" s="13">
        <v>2</v>
      </c>
      <c r="Q116" s="13" t="s">
        <v>22</v>
      </c>
      <c r="R116" s="13" t="s">
        <v>29</v>
      </c>
      <c r="S116" s="13">
        <v>9</v>
      </c>
      <c r="T116" s="13" t="s">
        <v>34</v>
      </c>
      <c r="U116" s="13" t="s">
        <v>26</v>
      </c>
      <c r="V116" s="13">
        <v>9</v>
      </c>
      <c r="W116" s="14" t="s">
        <v>256</v>
      </c>
    </row>
    <row r="117" spans="1:23" ht="18.95" customHeight="1">
      <c r="A117" s="7">
        <v>116</v>
      </c>
      <c r="B117" s="8">
        <v>1979</v>
      </c>
      <c r="C117" s="9" t="s">
        <v>13</v>
      </c>
      <c r="D117" s="10" t="s">
        <v>89</v>
      </c>
      <c r="E117" s="10" t="s">
        <v>90</v>
      </c>
      <c r="F117" s="10" t="s">
        <v>57</v>
      </c>
      <c r="G117" s="10" t="s">
        <v>17</v>
      </c>
      <c r="H117" s="10" t="s">
        <v>18</v>
      </c>
      <c r="I117" s="10" t="s">
        <v>84</v>
      </c>
      <c r="J117" s="10">
        <v>10</v>
      </c>
      <c r="K117" s="10" t="s">
        <v>50</v>
      </c>
      <c r="L117" s="10">
        <v>10</v>
      </c>
      <c r="M117" s="10">
        <v>10</v>
      </c>
      <c r="N117" s="10">
        <v>10</v>
      </c>
      <c r="O117" s="10" t="s">
        <v>94</v>
      </c>
      <c r="P117" s="10">
        <v>10</v>
      </c>
      <c r="Q117" s="10" t="s">
        <v>59</v>
      </c>
      <c r="R117" s="10" t="s">
        <v>29</v>
      </c>
      <c r="S117" s="10">
        <v>10</v>
      </c>
      <c r="T117" s="10" t="s">
        <v>39</v>
      </c>
      <c r="U117" s="10" t="s">
        <v>97</v>
      </c>
      <c r="V117" s="10">
        <v>10</v>
      </c>
      <c r="W117" s="11" t="s">
        <v>257</v>
      </c>
    </row>
    <row r="118" spans="1:23" ht="18.95" customHeight="1">
      <c r="A118" s="7">
        <v>117</v>
      </c>
      <c r="B118" s="12">
        <v>1979</v>
      </c>
      <c r="C118" s="9" t="s">
        <v>13</v>
      </c>
      <c r="D118" s="13" t="s">
        <v>258</v>
      </c>
      <c r="E118" s="13" t="s">
        <v>87</v>
      </c>
      <c r="F118" s="13" t="s">
        <v>57</v>
      </c>
      <c r="G118" s="13" t="s">
        <v>47</v>
      </c>
      <c r="H118" s="13" t="s">
        <v>18</v>
      </c>
      <c r="I118" s="13" t="s">
        <v>84</v>
      </c>
      <c r="J118" s="13">
        <v>8</v>
      </c>
      <c r="K118" s="13" t="s">
        <v>85</v>
      </c>
      <c r="L118" s="13">
        <v>9</v>
      </c>
      <c r="M118" s="13">
        <v>10</v>
      </c>
      <c r="N118" s="13">
        <v>10</v>
      </c>
      <c r="O118" s="13" t="s">
        <v>21</v>
      </c>
      <c r="P118" s="13">
        <v>5</v>
      </c>
      <c r="Q118" s="13" t="s">
        <v>125</v>
      </c>
      <c r="R118" s="13" t="s">
        <v>259</v>
      </c>
      <c r="S118" s="13">
        <v>9</v>
      </c>
      <c r="T118" s="13" t="s">
        <v>34</v>
      </c>
      <c r="U118" s="13" t="s">
        <v>140</v>
      </c>
      <c r="V118" s="13">
        <v>8</v>
      </c>
      <c r="W118" s="14" t="s">
        <v>260</v>
      </c>
    </row>
    <row r="119" spans="1:23" ht="18.95" customHeight="1">
      <c r="A119" s="7">
        <v>118</v>
      </c>
      <c r="B119" s="8">
        <v>1979</v>
      </c>
      <c r="C119" s="9" t="s">
        <v>13</v>
      </c>
      <c r="D119" s="10" t="s">
        <v>246</v>
      </c>
      <c r="E119" s="10" t="s">
        <v>75</v>
      </c>
      <c r="F119" s="10" t="s">
        <v>16</v>
      </c>
      <c r="G119" s="10" t="s">
        <v>103</v>
      </c>
      <c r="H119" s="10" t="s">
        <v>18</v>
      </c>
      <c r="I119" s="10" t="s">
        <v>81</v>
      </c>
      <c r="J119" s="10">
        <v>8</v>
      </c>
      <c r="K119" s="10" t="s">
        <v>20</v>
      </c>
      <c r="L119" s="10">
        <v>8</v>
      </c>
      <c r="M119" s="10">
        <v>1</v>
      </c>
      <c r="N119" s="10">
        <v>9</v>
      </c>
      <c r="O119" s="10" t="s">
        <v>21</v>
      </c>
      <c r="P119" s="10">
        <v>5</v>
      </c>
      <c r="Q119" s="10" t="s">
        <v>22</v>
      </c>
      <c r="R119" s="10" t="s">
        <v>38</v>
      </c>
      <c r="S119" s="10">
        <v>2</v>
      </c>
      <c r="T119" s="10" t="s">
        <v>73</v>
      </c>
      <c r="U119" s="10" t="s">
        <v>97</v>
      </c>
      <c r="V119" s="10">
        <v>8</v>
      </c>
      <c r="W119" s="10" t="s">
        <v>261</v>
      </c>
    </row>
    <row r="120" spans="1:23" ht="18.95" customHeight="1">
      <c r="A120" s="7">
        <v>119</v>
      </c>
      <c r="B120" s="12">
        <v>1979</v>
      </c>
      <c r="C120" s="9" t="s">
        <v>13</v>
      </c>
      <c r="D120" s="13" t="s">
        <v>141</v>
      </c>
      <c r="E120" s="13" t="s">
        <v>87</v>
      </c>
      <c r="F120" s="13" t="s">
        <v>57</v>
      </c>
      <c r="G120" s="13" t="s">
        <v>17</v>
      </c>
      <c r="H120" s="13" t="s">
        <v>18</v>
      </c>
      <c r="I120" s="13" t="s">
        <v>76</v>
      </c>
      <c r="J120" s="13">
        <v>9</v>
      </c>
      <c r="K120" s="13" t="s">
        <v>20</v>
      </c>
      <c r="L120" s="13">
        <v>10</v>
      </c>
      <c r="M120" s="13">
        <v>10</v>
      </c>
      <c r="N120" s="13">
        <v>10</v>
      </c>
      <c r="O120" s="13" t="s">
        <v>21</v>
      </c>
      <c r="P120" s="13">
        <v>3</v>
      </c>
      <c r="Q120" s="13" t="s">
        <v>59</v>
      </c>
      <c r="R120" s="13" t="s">
        <v>29</v>
      </c>
      <c r="S120" s="13">
        <v>10</v>
      </c>
      <c r="T120" s="13" t="s">
        <v>34</v>
      </c>
      <c r="U120" s="13" t="s">
        <v>54</v>
      </c>
      <c r="V120" s="13">
        <v>10</v>
      </c>
      <c r="W120" s="13" t="s">
        <v>262</v>
      </c>
    </row>
    <row r="121" spans="1:23" ht="18.95" customHeight="1">
      <c r="A121" s="7">
        <v>120</v>
      </c>
      <c r="B121" s="8">
        <v>1979</v>
      </c>
      <c r="C121" s="9" t="s">
        <v>13</v>
      </c>
      <c r="D121" s="10" t="s">
        <v>95</v>
      </c>
      <c r="E121" s="10" t="s">
        <v>42</v>
      </c>
      <c r="F121" s="10" t="s">
        <v>57</v>
      </c>
      <c r="G121" s="10" t="s">
        <v>17</v>
      </c>
      <c r="H121" s="10" t="s">
        <v>18</v>
      </c>
      <c r="I121" s="10" t="s">
        <v>263</v>
      </c>
      <c r="J121" s="10">
        <v>9</v>
      </c>
      <c r="K121" s="10" t="s">
        <v>20</v>
      </c>
      <c r="L121" s="10">
        <v>10</v>
      </c>
      <c r="M121" s="10">
        <v>10</v>
      </c>
      <c r="N121" s="10">
        <v>10</v>
      </c>
      <c r="O121" s="10" t="s">
        <v>21</v>
      </c>
      <c r="P121" s="10">
        <v>2</v>
      </c>
      <c r="Q121" s="10" t="s">
        <v>22</v>
      </c>
      <c r="R121" s="10" t="s">
        <v>29</v>
      </c>
      <c r="S121" s="10">
        <v>10</v>
      </c>
      <c r="T121" s="10" t="s">
        <v>265</v>
      </c>
      <c r="U121" s="10" t="s">
        <v>97</v>
      </c>
      <c r="V121" s="10">
        <v>10</v>
      </c>
      <c r="W121" s="10" t="s">
        <v>264</v>
      </c>
    </row>
    <row r="122" spans="1:23" ht="18.95" customHeight="1">
      <c r="A122" s="7">
        <v>121</v>
      </c>
      <c r="B122" s="12">
        <v>1979</v>
      </c>
      <c r="C122" s="9" t="s">
        <v>13</v>
      </c>
      <c r="D122" s="13" t="s">
        <v>246</v>
      </c>
      <c r="E122" s="13" t="s">
        <v>75</v>
      </c>
      <c r="F122" s="13" t="s">
        <v>57</v>
      </c>
      <c r="G122" s="13" t="s">
        <v>17</v>
      </c>
      <c r="H122" s="13" t="s">
        <v>48</v>
      </c>
      <c r="I122" s="13" t="s">
        <v>81</v>
      </c>
      <c r="J122" s="13">
        <v>3</v>
      </c>
      <c r="K122" s="13" t="s">
        <v>20</v>
      </c>
      <c r="L122" s="13">
        <v>10</v>
      </c>
      <c r="M122" s="13">
        <v>10</v>
      </c>
      <c r="N122" s="13">
        <v>10</v>
      </c>
      <c r="O122" s="13" t="s">
        <v>21</v>
      </c>
      <c r="P122" s="13">
        <v>5</v>
      </c>
      <c r="Q122" s="13" t="s">
        <v>22</v>
      </c>
      <c r="R122" s="13" t="s">
        <v>45</v>
      </c>
      <c r="S122" s="13">
        <v>10</v>
      </c>
      <c r="T122" s="13" t="s">
        <v>53</v>
      </c>
      <c r="U122" s="13" t="s">
        <v>54</v>
      </c>
      <c r="V122" s="13">
        <v>10</v>
      </c>
      <c r="W122" s="13" t="s">
        <v>266</v>
      </c>
    </row>
    <row r="123" spans="1:23" ht="18.95" customHeight="1">
      <c r="A123" s="7">
        <v>122</v>
      </c>
      <c r="B123" s="8">
        <v>1979</v>
      </c>
      <c r="C123" s="9" t="s">
        <v>13</v>
      </c>
      <c r="D123" s="10" t="s">
        <v>222</v>
      </c>
      <c r="E123" s="10" t="s">
        <v>56</v>
      </c>
      <c r="F123" s="10" t="s">
        <v>57</v>
      </c>
      <c r="G123" s="10" t="s">
        <v>47</v>
      </c>
      <c r="H123" s="10" t="s">
        <v>18</v>
      </c>
      <c r="I123" s="10" t="s">
        <v>19</v>
      </c>
      <c r="J123" s="10">
        <v>9</v>
      </c>
      <c r="K123" s="10" t="s">
        <v>20</v>
      </c>
      <c r="L123" s="10">
        <v>7</v>
      </c>
      <c r="M123" s="10">
        <v>9</v>
      </c>
      <c r="N123" s="10">
        <v>7</v>
      </c>
      <c r="O123" s="10" t="s">
        <v>21</v>
      </c>
      <c r="P123" s="10">
        <v>9</v>
      </c>
      <c r="Q123" s="10" t="s">
        <v>64</v>
      </c>
      <c r="R123" s="10" t="s">
        <v>45</v>
      </c>
      <c r="S123" s="10">
        <v>10</v>
      </c>
      <c r="T123" s="10" t="s">
        <v>251</v>
      </c>
      <c r="U123" s="10" t="s">
        <v>80</v>
      </c>
      <c r="V123" s="10">
        <v>9</v>
      </c>
      <c r="W123" s="10" t="s">
        <v>267</v>
      </c>
    </row>
    <row r="124" spans="1:23" ht="18.95" customHeight="1">
      <c r="A124" s="7">
        <v>123</v>
      </c>
      <c r="B124" s="12">
        <v>1979</v>
      </c>
      <c r="C124" s="9" t="s">
        <v>13</v>
      </c>
      <c r="D124" s="13" t="s">
        <v>89</v>
      </c>
      <c r="E124" s="13" t="s">
        <v>90</v>
      </c>
      <c r="F124" s="13" t="s">
        <v>16</v>
      </c>
      <c r="G124" s="13" t="s">
        <v>103</v>
      </c>
      <c r="H124" s="13" t="s">
        <v>18</v>
      </c>
      <c r="I124" s="13" t="s">
        <v>268</v>
      </c>
      <c r="J124" s="13">
        <v>10</v>
      </c>
      <c r="K124" s="13" t="s">
        <v>93</v>
      </c>
      <c r="L124" s="13">
        <v>10</v>
      </c>
      <c r="M124" s="13">
        <v>10</v>
      </c>
      <c r="N124" s="13">
        <v>10</v>
      </c>
      <c r="O124" s="13" t="s">
        <v>94</v>
      </c>
      <c r="P124" s="13">
        <v>1</v>
      </c>
      <c r="Q124" s="13" t="s">
        <v>269</v>
      </c>
      <c r="R124" s="13" t="s">
        <v>270</v>
      </c>
      <c r="S124" s="13">
        <v>10</v>
      </c>
      <c r="T124" s="13" t="s">
        <v>53</v>
      </c>
      <c r="U124" s="13" t="s">
        <v>97</v>
      </c>
      <c r="V124" s="13">
        <v>10</v>
      </c>
      <c r="W124" s="13" t="s">
        <v>271</v>
      </c>
    </row>
    <row r="125" spans="1:23" ht="18.95" customHeight="1">
      <c r="A125" s="7">
        <v>124</v>
      </c>
      <c r="B125" s="8">
        <v>1979</v>
      </c>
      <c r="C125" s="9" t="s">
        <v>13</v>
      </c>
      <c r="D125" s="10" t="s">
        <v>95</v>
      </c>
      <c r="E125" s="10" t="s">
        <v>42</v>
      </c>
      <c r="F125" s="10" t="s">
        <v>57</v>
      </c>
      <c r="G125" s="10" t="s">
        <v>103</v>
      </c>
      <c r="H125" s="10" t="s">
        <v>18</v>
      </c>
      <c r="I125" s="10" t="s">
        <v>272</v>
      </c>
      <c r="J125" s="10">
        <v>9</v>
      </c>
      <c r="K125" s="10" t="s">
        <v>20</v>
      </c>
      <c r="L125" s="10">
        <v>9</v>
      </c>
      <c r="M125" s="10">
        <v>2</v>
      </c>
      <c r="N125" s="10">
        <v>9</v>
      </c>
      <c r="O125" s="10" t="s">
        <v>21</v>
      </c>
      <c r="P125" s="10">
        <v>5</v>
      </c>
      <c r="Q125" s="10" t="s">
        <v>44</v>
      </c>
      <c r="R125" s="10" t="s">
        <v>45</v>
      </c>
      <c r="S125" s="10">
        <v>10</v>
      </c>
      <c r="T125" s="10" t="s">
        <v>53</v>
      </c>
      <c r="U125" s="10" t="s">
        <v>80</v>
      </c>
      <c r="V125" s="10">
        <v>9</v>
      </c>
      <c r="W125" s="10" t="s">
        <v>273</v>
      </c>
    </row>
    <row r="126" spans="1:23" ht="18.95" customHeight="1">
      <c r="A126" s="7">
        <v>125</v>
      </c>
      <c r="B126" s="12">
        <v>1979</v>
      </c>
      <c r="C126" s="9" t="s">
        <v>13</v>
      </c>
      <c r="D126" s="13" t="s">
        <v>89</v>
      </c>
      <c r="E126" s="13" t="s">
        <v>90</v>
      </c>
      <c r="F126" s="13" t="s">
        <v>57</v>
      </c>
      <c r="G126" s="13" t="s">
        <v>47</v>
      </c>
      <c r="H126" s="13" t="s">
        <v>18</v>
      </c>
      <c r="I126" s="13" t="s">
        <v>274</v>
      </c>
      <c r="J126" s="13">
        <v>9</v>
      </c>
      <c r="K126" s="13" t="s">
        <v>20</v>
      </c>
      <c r="L126" s="13">
        <v>10</v>
      </c>
      <c r="M126" s="13">
        <v>1</v>
      </c>
      <c r="N126" s="13">
        <v>10</v>
      </c>
      <c r="O126" s="13" t="s">
        <v>21</v>
      </c>
      <c r="P126" s="13">
        <v>7</v>
      </c>
      <c r="Q126" s="13" t="s">
        <v>44</v>
      </c>
      <c r="R126" s="13" t="s">
        <v>45</v>
      </c>
      <c r="S126" s="13">
        <v>10</v>
      </c>
      <c r="T126" s="13" t="s">
        <v>276</v>
      </c>
      <c r="U126" s="13" t="s">
        <v>54</v>
      </c>
      <c r="V126" s="13">
        <v>10</v>
      </c>
      <c r="W126" s="13" t="s">
        <v>275</v>
      </c>
    </row>
    <row r="127" spans="1:23" ht="18.95" customHeight="1">
      <c r="A127" s="7">
        <v>126</v>
      </c>
      <c r="B127" s="8">
        <v>1979</v>
      </c>
      <c r="C127" s="9" t="s">
        <v>13</v>
      </c>
      <c r="D127" s="10" t="s">
        <v>86</v>
      </c>
      <c r="E127" s="10" t="s">
        <v>87</v>
      </c>
      <c r="F127" s="10" t="s">
        <v>57</v>
      </c>
      <c r="G127" s="10" t="s">
        <v>47</v>
      </c>
      <c r="H127" s="10" t="s">
        <v>18</v>
      </c>
      <c r="I127" s="10" t="s">
        <v>277</v>
      </c>
      <c r="J127" s="10">
        <v>7</v>
      </c>
      <c r="K127" s="10" t="s">
        <v>20</v>
      </c>
      <c r="L127" s="10">
        <v>10</v>
      </c>
      <c r="M127" s="10">
        <v>10</v>
      </c>
      <c r="N127" s="10">
        <v>8</v>
      </c>
      <c r="O127" s="10" t="s">
        <v>21</v>
      </c>
      <c r="P127" s="10">
        <v>8</v>
      </c>
      <c r="Q127" s="10" t="s">
        <v>44</v>
      </c>
      <c r="R127" s="10" t="s">
        <v>45</v>
      </c>
      <c r="S127" s="10">
        <v>1</v>
      </c>
      <c r="T127" s="10" t="s">
        <v>34</v>
      </c>
      <c r="U127" s="10" t="s">
        <v>26</v>
      </c>
      <c r="V127" s="10">
        <v>10</v>
      </c>
      <c r="W127" s="10" t="s">
        <v>278</v>
      </c>
    </row>
    <row r="128" spans="1:23" ht="18.95" customHeight="1">
      <c r="A128" s="7">
        <v>127</v>
      </c>
      <c r="B128" s="12">
        <v>1979</v>
      </c>
      <c r="C128" s="9" t="s">
        <v>13</v>
      </c>
      <c r="D128" s="13" t="s">
        <v>35</v>
      </c>
      <c r="E128" s="13" t="s">
        <v>36</v>
      </c>
      <c r="F128" s="13" t="s">
        <v>57</v>
      </c>
      <c r="G128" s="13" t="s">
        <v>103</v>
      </c>
      <c r="H128" s="13" t="s">
        <v>18</v>
      </c>
      <c r="I128" s="13" t="s">
        <v>76</v>
      </c>
      <c r="J128" s="13">
        <v>6</v>
      </c>
      <c r="K128" s="13" t="s">
        <v>50</v>
      </c>
      <c r="L128" s="13">
        <v>9</v>
      </c>
      <c r="M128" s="13">
        <v>6</v>
      </c>
      <c r="N128" s="13">
        <v>9</v>
      </c>
      <c r="O128" s="13" t="s">
        <v>94</v>
      </c>
      <c r="P128" s="13">
        <v>9</v>
      </c>
      <c r="Q128" s="13" t="s">
        <v>22</v>
      </c>
      <c r="R128" s="13" t="s">
        <v>29</v>
      </c>
      <c r="S128" s="13">
        <v>8</v>
      </c>
      <c r="T128" s="13" t="s">
        <v>34</v>
      </c>
      <c r="U128" s="13" t="s">
        <v>68</v>
      </c>
      <c r="V128" s="13">
        <v>7</v>
      </c>
      <c r="W128" s="13" t="s">
        <v>279</v>
      </c>
    </row>
    <row r="129" spans="1:23" ht="18.95" customHeight="1">
      <c r="A129" s="7">
        <v>128</v>
      </c>
      <c r="B129" s="8">
        <v>1979</v>
      </c>
      <c r="C129" s="9" t="s">
        <v>13</v>
      </c>
      <c r="D129" s="10" t="s">
        <v>203</v>
      </c>
      <c r="E129" s="10" t="s">
        <v>75</v>
      </c>
      <c r="F129" s="10" t="s">
        <v>57</v>
      </c>
      <c r="G129" s="10" t="s">
        <v>17</v>
      </c>
      <c r="H129" s="10" t="s">
        <v>18</v>
      </c>
      <c r="I129" s="10" t="s">
        <v>84</v>
      </c>
      <c r="J129" s="10">
        <v>8</v>
      </c>
      <c r="K129" s="10" t="s">
        <v>32</v>
      </c>
      <c r="L129" s="10">
        <v>9</v>
      </c>
      <c r="M129" s="10">
        <v>10</v>
      </c>
      <c r="N129" s="10">
        <v>10</v>
      </c>
      <c r="O129" s="10" t="s">
        <v>21</v>
      </c>
      <c r="P129" s="10">
        <v>8</v>
      </c>
      <c r="Q129" s="10" t="s">
        <v>22</v>
      </c>
      <c r="R129" s="10" t="s">
        <v>23</v>
      </c>
      <c r="S129" s="10">
        <v>7</v>
      </c>
      <c r="T129" s="10" t="s">
        <v>34</v>
      </c>
      <c r="U129" s="10" t="s">
        <v>54</v>
      </c>
      <c r="V129" s="10">
        <v>10</v>
      </c>
      <c r="W129" s="10" t="s">
        <v>280</v>
      </c>
    </row>
    <row r="130" spans="1:23" ht="18.95" customHeight="1">
      <c r="A130" s="7">
        <v>129</v>
      </c>
      <c r="B130" s="12">
        <v>1979</v>
      </c>
      <c r="C130" s="9" t="s">
        <v>13</v>
      </c>
      <c r="D130" s="13" t="s">
        <v>89</v>
      </c>
      <c r="E130" s="13" t="s">
        <v>90</v>
      </c>
      <c r="F130" s="13" t="s">
        <v>57</v>
      </c>
      <c r="G130" s="13" t="s">
        <v>17</v>
      </c>
      <c r="H130" s="13" t="s">
        <v>18</v>
      </c>
      <c r="I130" s="13" t="s">
        <v>81</v>
      </c>
      <c r="J130" s="13">
        <v>8</v>
      </c>
      <c r="K130" s="13" t="s">
        <v>20</v>
      </c>
      <c r="L130" s="13">
        <v>10</v>
      </c>
      <c r="M130" s="13">
        <v>9</v>
      </c>
      <c r="N130" s="13">
        <v>10</v>
      </c>
      <c r="O130" s="13" t="s">
        <v>21</v>
      </c>
      <c r="P130" s="13">
        <v>9</v>
      </c>
      <c r="Q130" s="13" t="s">
        <v>59</v>
      </c>
      <c r="R130" s="13" t="s">
        <v>45</v>
      </c>
      <c r="S130" s="13">
        <v>10</v>
      </c>
      <c r="T130" s="13" t="s">
        <v>282</v>
      </c>
      <c r="U130" s="13" t="s">
        <v>140</v>
      </c>
      <c r="V130" s="13">
        <v>9</v>
      </c>
      <c r="W130" s="13" t="s">
        <v>281</v>
      </c>
    </row>
    <row r="131" spans="1:23" ht="18.95" customHeight="1">
      <c r="A131" s="7">
        <v>130</v>
      </c>
      <c r="B131" s="8">
        <v>1979</v>
      </c>
      <c r="C131" s="9" t="s">
        <v>13</v>
      </c>
      <c r="D131" s="10" t="s">
        <v>119</v>
      </c>
      <c r="E131" s="10" t="s">
        <v>75</v>
      </c>
      <c r="F131" s="10" t="s">
        <v>16</v>
      </c>
      <c r="G131" s="10" t="s">
        <v>103</v>
      </c>
      <c r="H131" s="10" t="s">
        <v>18</v>
      </c>
      <c r="I131" s="10" t="s">
        <v>81</v>
      </c>
      <c r="J131" s="10">
        <v>9</v>
      </c>
      <c r="K131" s="10" t="s">
        <v>20</v>
      </c>
      <c r="L131" s="10">
        <v>10</v>
      </c>
      <c r="M131" s="10">
        <v>1</v>
      </c>
      <c r="N131" s="10">
        <v>9</v>
      </c>
      <c r="O131" s="10" t="s">
        <v>21</v>
      </c>
      <c r="P131" s="10">
        <v>1</v>
      </c>
      <c r="Q131" s="10" t="s">
        <v>22</v>
      </c>
      <c r="R131" s="10" t="s">
        <v>29</v>
      </c>
      <c r="S131" s="10">
        <v>10</v>
      </c>
      <c r="T131" s="10" t="s">
        <v>73</v>
      </c>
      <c r="U131" s="10" t="s">
        <v>54</v>
      </c>
      <c r="V131" s="10">
        <v>10</v>
      </c>
      <c r="W131" s="10" t="s">
        <v>284</v>
      </c>
    </row>
    <row r="132" spans="1:23" ht="18.95" customHeight="1">
      <c r="A132" s="7">
        <v>131</v>
      </c>
      <c r="B132" s="15">
        <v>1979</v>
      </c>
      <c r="C132" s="9" t="s">
        <v>13</v>
      </c>
      <c r="D132" s="16" t="s">
        <v>141</v>
      </c>
      <c r="E132" s="13" t="s">
        <v>87</v>
      </c>
      <c r="F132" s="16" t="s">
        <v>57</v>
      </c>
      <c r="G132" s="13" t="s">
        <v>17</v>
      </c>
      <c r="H132" s="16" t="s">
        <v>18</v>
      </c>
      <c r="I132" s="16" t="s">
        <v>76</v>
      </c>
      <c r="J132" s="16">
        <v>1</v>
      </c>
      <c r="K132" s="13" t="s">
        <v>20</v>
      </c>
      <c r="L132" s="16">
        <v>10</v>
      </c>
      <c r="M132" s="16">
        <v>1</v>
      </c>
      <c r="N132" s="16">
        <v>10</v>
      </c>
      <c r="O132" s="16" t="s">
        <v>21</v>
      </c>
      <c r="P132" s="16">
        <v>1</v>
      </c>
      <c r="Q132" s="16" t="s">
        <v>59</v>
      </c>
      <c r="R132" s="16" t="s">
        <v>29</v>
      </c>
      <c r="S132" s="16">
        <v>1</v>
      </c>
      <c r="T132" s="16" t="s">
        <v>34</v>
      </c>
      <c r="U132" s="16" t="s">
        <v>26</v>
      </c>
      <c r="V132" s="16">
        <v>10</v>
      </c>
      <c r="W132" s="16" t="s">
        <v>461</v>
      </c>
    </row>
    <row r="133" spans="1:23" ht="18.95" customHeight="1">
      <c r="A133" s="7">
        <v>132</v>
      </c>
      <c r="B133" s="17">
        <v>1979</v>
      </c>
      <c r="C133" s="9" t="s">
        <v>13</v>
      </c>
      <c r="D133" s="18" t="s">
        <v>41</v>
      </c>
      <c r="E133" s="10" t="s">
        <v>42</v>
      </c>
      <c r="F133" s="18" t="s">
        <v>16</v>
      </c>
      <c r="G133" s="10" t="s">
        <v>47</v>
      </c>
      <c r="H133" s="18" t="s">
        <v>18</v>
      </c>
      <c r="I133" s="18" t="s">
        <v>464</v>
      </c>
      <c r="J133" s="18">
        <v>7</v>
      </c>
      <c r="K133" s="10" t="s">
        <v>20</v>
      </c>
      <c r="L133" s="18">
        <v>9</v>
      </c>
      <c r="M133" s="18">
        <v>1</v>
      </c>
      <c r="N133" s="18">
        <v>9</v>
      </c>
      <c r="O133" s="18" t="s">
        <v>21</v>
      </c>
      <c r="P133" s="18">
        <v>2</v>
      </c>
      <c r="Q133" s="18" t="s">
        <v>44</v>
      </c>
      <c r="R133" s="18" t="s">
        <v>38</v>
      </c>
      <c r="S133" s="18">
        <v>1</v>
      </c>
      <c r="T133" s="18" t="s">
        <v>34</v>
      </c>
      <c r="U133" s="18" t="s">
        <v>54</v>
      </c>
      <c r="V133" s="18">
        <v>10</v>
      </c>
      <c r="W133" s="18" t="s">
        <v>465</v>
      </c>
    </row>
    <row r="134" spans="1:23" ht="18.95" customHeight="1">
      <c r="A134" s="7">
        <v>133</v>
      </c>
      <c r="B134" s="17">
        <v>1979</v>
      </c>
      <c r="C134" s="9" t="s">
        <v>13</v>
      </c>
      <c r="D134" s="18" t="s">
        <v>89</v>
      </c>
      <c r="E134" s="10" t="s">
        <v>90</v>
      </c>
      <c r="F134" s="18" t="s">
        <v>57</v>
      </c>
      <c r="G134" s="10" t="s">
        <v>17</v>
      </c>
      <c r="H134" s="18" t="s">
        <v>18</v>
      </c>
      <c r="I134" s="18" t="s">
        <v>31</v>
      </c>
      <c r="J134" s="18">
        <v>9</v>
      </c>
      <c r="K134" s="10" t="s">
        <v>93</v>
      </c>
      <c r="L134" s="18">
        <v>9</v>
      </c>
      <c r="M134" s="18">
        <v>10</v>
      </c>
      <c r="N134" s="18">
        <v>9</v>
      </c>
      <c r="O134" s="18" t="s">
        <v>94</v>
      </c>
      <c r="P134" s="18">
        <v>6</v>
      </c>
      <c r="Q134" s="18" t="s">
        <v>22</v>
      </c>
      <c r="R134" s="18" t="s">
        <v>38</v>
      </c>
      <c r="S134" s="18">
        <v>10</v>
      </c>
      <c r="T134" s="18" t="s">
        <v>105</v>
      </c>
      <c r="U134" s="18" t="s">
        <v>140</v>
      </c>
      <c r="V134" s="18">
        <v>8</v>
      </c>
      <c r="W134" s="18" t="s">
        <v>462</v>
      </c>
    </row>
    <row r="135" spans="1:23" ht="18.95" customHeight="1">
      <c r="A135" s="7">
        <v>134</v>
      </c>
      <c r="B135" s="17">
        <v>1979</v>
      </c>
      <c r="C135" s="9" t="s">
        <v>13</v>
      </c>
      <c r="D135" s="18" t="s">
        <v>35</v>
      </c>
      <c r="E135" s="10" t="s">
        <v>36</v>
      </c>
      <c r="F135" s="18" t="s">
        <v>57</v>
      </c>
      <c r="G135" s="10" t="s">
        <v>17</v>
      </c>
      <c r="H135" s="18" t="s">
        <v>18</v>
      </c>
      <c r="I135" s="18" t="s">
        <v>31</v>
      </c>
      <c r="J135" s="18">
        <v>7</v>
      </c>
      <c r="K135" s="10" t="s">
        <v>20</v>
      </c>
      <c r="L135" s="18">
        <v>8</v>
      </c>
      <c r="M135" s="18">
        <v>8</v>
      </c>
      <c r="N135" s="18">
        <v>7</v>
      </c>
      <c r="O135" s="18" t="s">
        <v>21</v>
      </c>
      <c r="P135" s="18">
        <v>9</v>
      </c>
      <c r="Q135" s="18" t="s">
        <v>59</v>
      </c>
      <c r="R135" s="18" t="s">
        <v>320</v>
      </c>
      <c r="S135" s="18">
        <v>10</v>
      </c>
      <c r="T135" s="18" t="s">
        <v>34</v>
      </c>
      <c r="U135" s="18" t="s">
        <v>97</v>
      </c>
      <c r="V135" s="18">
        <v>8</v>
      </c>
      <c r="W135" s="18" t="s">
        <v>467</v>
      </c>
    </row>
    <row r="136" spans="1:23" ht="18.95" customHeight="1">
      <c r="A136" s="7">
        <v>135</v>
      </c>
      <c r="B136" s="17">
        <v>1979</v>
      </c>
      <c r="C136" s="9" t="s">
        <v>13</v>
      </c>
      <c r="D136" s="18" t="s">
        <v>114</v>
      </c>
      <c r="E136" s="10" t="s">
        <v>56</v>
      </c>
      <c r="F136" s="18" t="s">
        <v>57</v>
      </c>
      <c r="G136" s="10" t="s">
        <v>17</v>
      </c>
      <c r="H136" s="18" t="s">
        <v>18</v>
      </c>
      <c r="I136" s="18" t="s">
        <v>313</v>
      </c>
      <c r="J136" s="18">
        <v>8</v>
      </c>
      <c r="K136" s="10" t="s">
        <v>20</v>
      </c>
      <c r="L136" s="18">
        <v>10</v>
      </c>
      <c r="M136" s="18">
        <v>10</v>
      </c>
      <c r="N136" s="18">
        <v>10</v>
      </c>
      <c r="O136" s="18" t="s">
        <v>21</v>
      </c>
      <c r="P136" s="18">
        <v>8</v>
      </c>
      <c r="Q136" s="18" t="s">
        <v>22</v>
      </c>
      <c r="R136" s="18" t="s">
        <v>45</v>
      </c>
      <c r="S136" s="18">
        <v>10</v>
      </c>
      <c r="T136" s="18" t="s">
        <v>105</v>
      </c>
      <c r="U136" s="18" t="s">
        <v>54</v>
      </c>
      <c r="V136" s="18">
        <v>10</v>
      </c>
      <c r="W136" s="18" t="s">
        <v>468</v>
      </c>
    </row>
    <row r="137" spans="1:23" ht="18.95" customHeight="1">
      <c r="A137" s="7">
        <v>136</v>
      </c>
      <c r="B137" s="15">
        <v>1979</v>
      </c>
      <c r="C137" s="9" t="s">
        <v>13</v>
      </c>
      <c r="D137" s="16" t="s">
        <v>89</v>
      </c>
      <c r="E137" s="13" t="s">
        <v>90</v>
      </c>
      <c r="F137" s="16" t="s">
        <v>16</v>
      </c>
      <c r="G137" s="13" t="s">
        <v>47</v>
      </c>
      <c r="H137" s="16" t="s">
        <v>18</v>
      </c>
      <c r="I137" s="16" t="s">
        <v>247</v>
      </c>
      <c r="J137" s="16">
        <v>9</v>
      </c>
      <c r="K137" s="13" t="s">
        <v>20</v>
      </c>
      <c r="L137" s="16">
        <v>10</v>
      </c>
      <c r="M137" s="16">
        <v>6</v>
      </c>
      <c r="N137" s="16">
        <v>9</v>
      </c>
      <c r="O137" s="16" t="s">
        <v>21</v>
      </c>
      <c r="P137" s="16">
        <v>10</v>
      </c>
      <c r="Q137" s="16" t="s">
        <v>44</v>
      </c>
      <c r="R137" s="16" t="s">
        <v>45</v>
      </c>
      <c r="S137" s="16">
        <v>10</v>
      </c>
      <c r="T137" s="16" t="s">
        <v>325</v>
      </c>
      <c r="U137" s="16" t="s">
        <v>26</v>
      </c>
      <c r="V137" s="16">
        <v>9</v>
      </c>
      <c r="W137" s="16" t="s">
        <v>354</v>
      </c>
    </row>
    <row r="138" spans="1:23" ht="18.95" customHeight="1">
      <c r="A138" s="7">
        <v>137</v>
      </c>
      <c r="B138" s="17">
        <v>1979</v>
      </c>
      <c r="C138" s="9" t="s">
        <v>13</v>
      </c>
      <c r="D138" s="18" t="s">
        <v>222</v>
      </c>
      <c r="E138" s="10" t="s">
        <v>56</v>
      </c>
      <c r="F138" s="18" t="s">
        <v>16</v>
      </c>
      <c r="G138" s="10" t="s">
        <v>17</v>
      </c>
      <c r="H138" s="18" t="s">
        <v>18</v>
      </c>
      <c r="I138" s="18" t="s">
        <v>473</v>
      </c>
      <c r="J138" s="18">
        <v>8</v>
      </c>
      <c r="K138" s="10" t="s">
        <v>93</v>
      </c>
      <c r="L138" s="18">
        <v>9</v>
      </c>
      <c r="M138" s="18">
        <v>8</v>
      </c>
      <c r="N138" s="18">
        <v>10</v>
      </c>
      <c r="O138" s="18" t="s">
        <v>21</v>
      </c>
      <c r="P138" s="18">
        <v>5</v>
      </c>
      <c r="Q138" s="18" t="s">
        <v>59</v>
      </c>
      <c r="R138" s="18" t="s">
        <v>29</v>
      </c>
      <c r="S138" s="18">
        <v>10</v>
      </c>
      <c r="T138" s="18" t="s">
        <v>73</v>
      </c>
      <c r="U138" s="18" t="s">
        <v>97</v>
      </c>
      <c r="V138" s="18">
        <v>10</v>
      </c>
      <c r="W138" s="18" t="s">
        <v>474</v>
      </c>
    </row>
    <row r="139" spans="1:23" ht="18.95" customHeight="1">
      <c r="A139" s="7">
        <v>138</v>
      </c>
      <c r="B139" s="15">
        <v>1979</v>
      </c>
      <c r="C139" s="9" t="s">
        <v>13</v>
      </c>
      <c r="D139" s="16" t="s">
        <v>222</v>
      </c>
      <c r="E139" s="13" t="s">
        <v>56</v>
      </c>
      <c r="F139" s="16" t="s">
        <v>57</v>
      </c>
      <c r="G139" s="13" t="s">
        <v>17</v>
      </c>
      <c r="H139" s="16" t="s">
        <v>18</v>
      </c>
      <c r="I139" s="16" t="s">
        <v>81</v>
      </c>
      <c r="J139" s="16">
        <v>9</v>
      </c>
      <c r="K139" s="13" t="s">
        <v>20</v>
      </c>
      <c r="L139" s="16">
        <v>8</v>
      </c>
      <c r="M139" s="16">
        <v>10</v>
      </c>
      <c r="N139" s="16">
        <v>8</v>
      </c>
      <c r="O139" s="16" t="s">
        <v>21</v>
      </c>
      <c r="P139" s="16">
        <v>9</v>
      </c>
      <c r="Q139" s="16" t="s">
        <v>22</v>
      </c>
      <c r="R139" s="16" t="s">
        <v>29</v>
      </c>
      <c r="S139" s="16">
        <v>10</v>
      </c>
      <c r="T139" s="16" t="s">
        <v>34</v>
      </c>
      <c r="U139" s="16" t="s">
        <v>54</v>
      </c>
      <c r="V139" s="16">
        <v>10</v>
      </c>
      <c r="W139" s="16" t="s">
        <v>475</v>
      </c>
    </row>
    <row r="140" spans="1:23" ht="18.95" customHeight="1">
      <c r="A140" s="7">
        <v>139</v>
      </c>
      <c r="B140" s="15">
        <v>1979</v>
      </c>
      <c r="C140" s="9" t="s">
        <v>13</v>
      </c>
      <c r="D140" s="16" t="s">
        <v>222</v>
      </c>
      <c r="E140" s="13" t="s">
        <v>56</v>
      </c>
      <c r="F140" s="16" t="s">
        <v>57</v>
      </c>
      <c r="G140" s="13" t="s">
        <v>47</v>
      </c>
      <c r="H140" s="16" t="s">
        <v>18</v>
      </c>
      <c r="I140" s="16" t="s">
        <v>19</v>
      </c>
      <c r="J140" s="16">
        <v>5</v>
      </c>
      <c r="K140" s="13" t="s">
        <v>20</v>
      </c>
      <c r="L140" s="16">
        <v>9</v>
      </c>
      <c r="M140" s="16">
        <v>10</v>
      </c>
      <c r="N140" s="16">
        <v>9</v>
      </c>
      <c r="O140" s="16" t="s">
        <v>21</v>
      </c>
      <c r="P140" s="16">
        <v>8</v>
      </c>
      <c r="Q140" s="16" t="s">
        <v>173</v>
      </c>
      <c r="R140" s="16" t="s">
        <v>45</v>
      </c>
      <c r="S140" s="16">
        <v>10</v>
      </c>
      <c r="T140" s="16" t="s">
        <v>73</v>
      </c>
      <c r="U140" s="16" t="s">
        <v>80</v>
      </c>
      <c r="V140" s="16">
        <v>8</v>
      </c>
      <c r="W140" s="16" t="s">
        <v>430</v>
      </c>
    </row>
    <row r="141" spans="1:23" ht="18.95" customHeight="1">
      <c r="A141" s="7">
        <v>140</v>
      </c>
      <c r="B141" s="15">
        <v>1979</v>
      </c>
      <c r="C141" s="9" t="s">
        <v>13</v>
      </c>
      <c r="D141" s="16" t="s">
        <v>114</v>
      </c>
      <c r="E141" s="13" t="s">
        <v>56</v>
      </c>
      <c r="F141" s="16" t="s">
        <v>57</v>
      </c>
      <c r="G141" s="13" t="s">
        <v>103</v>
      </c>
      <c r="H141" s="16" t="s">
        <v>18</v>
      </c>
      <c r="I141" s="16" t="s">
        <v>476</v>
      </c>
      <c r="J141" s="16">
        <v>5</v>
      </c>
      <c r="K141" s="13" t="s">
        <v>20</v>
      </c>
      <c r="L141" s="16">
        <v>10</v>
      </c>
      <c r="M141" s="16">
        <v>1</v>
      </c>
      <c r="N141" s="16">
        <v>5</v>
      </c>
      <c r="O141" s="16" t="s">
        <v>21</v>
      </c>
      <c r="P141" s="16">
        <v>4</v>
      </c>
      <c r="Q141" s="16" t="s">
        <v>37</v>
      </c>
      <c r="R141" s="16" t="s">
        <v>248</v>
      </c>
      <c r="S141" s="16">
        <v>4</v>
      </c>
      <c r="T141" s="16" t="s">
        <v>34</v>
      </c>
      <c r="U141" s="16" t="s">
        <v>26</v>
      </c>
      <c r="V141" s="16">
        <v>10</v>
      </c>
      <c r="W141" s="16" t="s">
        <v>477</v>
      </c>
    </row>
    <row r="142" spans="1:23" ht="18.95" customHeight="1">
      <c r="A142" s="7">
        <v>141</v>
      </c>
      <c r="B142" s="15">
        <v>1979</v>
      </c>
      <c r="C142" s="9" t="s">
        <v>13</v>
      </c>
      <c r="D142" s="16" t="s">
        <v>137</v>
      </c>
      <c r="E142" s="13" t="s">
        <v>42</v>
      </c>
      <c r="F142" s="16" t="s">
        <v>57</v>
      </c>
      <c r="G142" s="13" t="s">
        <v>103</v>
      </c>
      <c r="H142" s="16" t="s">
        <v>18</v>
      </c>
      <c r="I142" s="16" t="s">
        <v>31</v>
      </c>
      <c r="J142" s="16">
        <v>10</v>
      </c>
      <c r="K142" s="13" t="s">
        <v>20</v>
      </c>
      <c r="L142" s="16">
        <v>8</v>
      </c>
      <c r="M142" s="16">
        <v>10</v>
      </c>
      <c r="N142" s="16">
        <v>8</v>
      </c>
      <c r="O142" s="16" t="s">
        <v>21</v>
      </c>
      <c r="P142" s="16">
        <v>10</v>
      </c>
      <c r="Q142" s="16" t="s">
        <v>173</v>
      </c>
      <c r="R142" s="16" t="s">
        <v>174</v>
      </c>
      <c r="S142" s="16">
        <v>8</v>
      </c>
      <c r="T142" s="16" t="s">
        <v>34</v>
      </c>
      <c r="U142" s="16" t="s">
        <v>140</v>
      </c>
      <c r="V142" s="16">
        <v>8</v>
      </c>
      <c r="W142" s="16" t="s">
        <v>478</v>
      </c>
    </row>
    <row r="143" spans="1:23" ht="18.95" customHeight="1">
      <c r="A143" s="7">
        <v>142</v>
      </c>
      <c r="B143" s="15">
        <v>1979</v>
      </c>
      <c r="C143" s="9" t="s">
        <v>13</v>
      </c>
      <c r="D143" s="16" t="s">
        <v>46</v>
      </c>
      <c r="E143" s="13" t="s">
        <v>36</v>
      </c>
      <c r="F143" s="16" t="s">
        <v>57</v>
      </c>
      <c r="G143" s="13" t="s">
        <v>17</v>
      </c>
      <c r="H143" s="16" t="s">
        <v>18</v>
      </c>
      <c r="I143" s="16" t="s">
        <v>81</v>
      </c>
      <c r="J143" s="16">
        <v>8</v>
      </c>
      <c r="K143" s="13" t="s">
        <v>20</v>
      </c>
      <c r="L143" s="16">
        <v>9</v>
      </c>
      <c r="M143" s="16">
        <v>10</v>
      </c>
      <c r="N143" s="16">
        <v>9</v>
      </c>
      <c r="O143" s="16" t="s">
        <v>21</v>
      </c>
      <c r="P143" s="16">
        <v>9</v>
      </c>
      <c r="Q143" s="16" t="s">
        <v>22</v>
      </c>
      <c r="R143" s="16" t="s">
        <v>33</v>
      </c>
      <c r="S143" s="16">
        <v>10</v>
      </c>
      <c r="T143" s="16" t="s">
        <v>34</v>
      </c>
      <c r="U143" s="16" t="s">
        <v>54</v>
      </c>
      <c r="V143" s="16">
        <v>10</v>
      </c>
      <c r="W143" s="16" t="s">
        <v>479</v>
      </c>
    </row>
    <row r="144" spans="1:23" ht="18.95" customHeight="1">
      <c r="A144" s="7">
        <v>143</v>
      </c>
      <c r="B144" s="17">
        <v>1979</v>
      </c>
      <c r="C144" s="9" t="s">
        <v>13</v>
      </c>
      <c r="D144" s="18" t="s">
        <v>122</v>
      </c>
      <c r="E144" s="10" t="s">
        <v>28</v>
      </c>
      <c r="F144" s="18" t="s">
        <v>16</v>
      </c>
      <c r="G144" s="10" t="s">
        <v>17</v>
      </c>
      <c r="H144" s="18" t="s">
        <v>48</v>
      </c>
      <c r="I144" s="18" t="s">
        <v>305</v>
      </c>
      <c r="J144" s="18">
        <v>7</v>
      </c>
      <c r="K144" s="10" t="s">
        <v>32</v>
      </c>
      <c r="L144" s="18">
        <v>10</v>
      </c>
      <c r="M144" s="18">
        <v>1</v>
      </c>
      <c r="N144" s="18">
        <v>1</v>
      </c>
      <c r="O144" s="18" t="s">
        <v>21</v>
      </c>
      <c r="P144" s="18">
        <v>4</v>
      </c>
      <c r="Q144" s="18" t="s">
        <v>22</v>
      </c>
      <c r="R144" s="18" t="s">
        <v>174</v>
      </c>
      <c r="S144" s="18">
        <v>6</v>
      </c>
      <c r="T144" s="18" t="s">
        <v>34</v>
      </c>
      <c r="U144" s="18" t="s">
        <v>140</v>
      </c>
      <c r="V144" s="18">
        <v>7</v>
      </c>
      <c r="W144" s="18" t="s">
        <v>317</v>
      </c>
    </row>
    <row r="145" spans="1:23" ht="18.95" customHeight="1">
      <c r="A145" s="7">
        <v>144</v>
      </c>
      <c r="B145" s="17">
        <v>1979</v>
      </c>
      <c r="C145" s="9" t="s">
        <v>13</v>
      </c>
      <c r="D145" s="18" t="s">
        <v>195</v>
      </c>
      <c r="E145" s="10" t="s">
        <v>56</v>
      </c>
      <c r="F145" s="18" t="s">
        <v>16</v>
      </c>
      <c r="G145" s="10" t="s">
        <v>103</v>
      </c>
      <c r="H145" s="18" t="s">
        <v>18</v>
      </c>
      <c r="I145" s="18" t="s">
        <v>481</v>
      </c>
      <c r="J145" s="18">
        <v>8</v>
      </c>
      <c r="K145" s="10" t="s">
        <v>85</v>
      </c>
      <c r="L145" s="18">
        <v>8</v>
      </c>
      <c r="M145" s="18">
        <v>7</v>
      </c>
      <c r="N145" s="18">
        <v>8</v>
      </c>
      <c r="O145" s="18" t="s">
        <v>21</v>
      </c>
      <c r="P145" s="18">
        <v>7</v>
      </c>
      <c r="Q145" s="18" t="s">
        <v>37</v>
      </c>
      <c r="R145" s="18" t="s">
        <v>45</v>
      </c>
      <c r="S145" s="18">
        <v>5</v>
      </c>
      <c r="T145" s="18" t="s">
        <v>34</v>
      </c>
      <c r="U145" s="18" t="s">
        <v>140</v>
      </c>
      <c r="V145" s="18">
        <v>8</v>
      </c>
      <c r="W145" s="18" t="s">
        <v>482</v>
      </c>
    </row>
    <row r="146" spans="1:23" ht="18.95" customHeight="1">
      <c r="A146" s="7">
        <v>145</v>
      </c>
      <c r="B146" s="17">
        <v>1979</v>
      </c>
      <c r="C146" s="9" t="s">
        <v>13</v>
      </c>
      <c r="D146" s="18" t="s">
        <v>306</v>
      </c>
      <c r="E146" s="10" t="s">
        <v>15</v>
      </c>
      <c r="F146" s="18" t="s">
        <v>57</v>
      </c>
      <c r="G146" s="10" t="s">
        <v>103</v>
      </c>
      <c r="H146" s="18" t="s">
        <v>18</v>
      </c>
      <c r="I146" s="18" t="s">
        <v>162</v>
      </c>
      <c r="J146" s="18">
        <v>8</v>
      </c>
      <c r="K146" s="10" t="s">
        <v>20</v>
      </c>
      <c r="L146" s="18">
        <v>9</v>
      </c>
      <c r="M146" s="18">
        <v>10</v>
      </c>
      <c r="N146" s="18">
        <v>10</v>
      </c>
      <c r="O146" s="18" t="s">
        <v>94</v>
      </c>
      <c r="P146" s="18">
        <v>8</v>
      </c>
      <c r="Q146" s="18" t="s">
        <v>22</v>
      </c>
      <c r="R146" s="18" t="s">
        <v>33</v>
      </c>
      <c r="S146" s="18">
        <v>10</v>
      </c>
      <c r="T146" s="18" t="s">
        <v>34</v>
      </c>
      <c r="U146" s="18" t="s">
        <v>54</v>
      </c>
      <c r="V146" s="18">
        <v>10</v>
      </c>
      <c r="W146" s="18" t="s">
        <v>483</v>
      </c>
    </row>
    <row r="147" spans="1:23" ht="18.95" customHeight="1">
      <c r="A147" s="7">
        <v>146</v>
      </c>
      <c r="B147" s="15">
        <v>1979</v>
      </c>
      <c r="C147" s="9" t="s">
        <v>13</v>
      </c>
      <c r="D147" s="16" t="s">
        <v>147</v>
      </c>
      <c r="E147" s="13" t="s">
        <v>36</v>
      </c>
      <c r="F147" s="16" t="s">
        <v>16</v>
      </c>
      <c r="G147" s="13" t="s">
        <v>17</v>
      </c>
      <c r="H147" s="16" t="s">
        <v>48</v>
      </c>
      <c r="I147" s="16" t="s">
        <v>81</v>
      </c>
      <c r="J147" s="16">
        <v>9</v>
      </c>
      <c r="K147" s="13" t="s">
        <v>93</v>
      </c>
      <c r="L147" s="16">
        <v>9</v>
      </c>
      <c r="M147" s="16">
        <v>9</v>
      </c>
      <c r="N147" s="16">
        <v>9</v>
      </c>
      <c r="O147" s="16" t="s">
        <v>94</v>
      </c>
      <c r="P147" s="16">
        <v>8</v>
      </c>
      <c r="Q147" s="16" t="s">
        <v>22</v>
      </c>
      <c r="R147" s="16" t="s">
        <v>299</v>
      </c>
      <c r="S147" s="16">
        <v>10</v>
      </c>
      <c r="T147" s="16" t="s">
        <v>34</v>
      </c>
      <c r="U147" s="16" t="s">
        <v>54</v>
      </c>
      <c r="V147" s="16">
        <v>9</v>
      </c>
      <c r="W147" s="16" t="s">
        <v>484</v>
      </c>
    </row>
    <row r="148" spans="1:23" ht="18.95" customHeight="1">
      <c r="A148" s="7">
        <v>147</v>
      </c>
      <c r="B148" s="17">
        <v>1979</v>
      </c>
      <c r="C148" s="9" t="s">
        <v>13</v>
      </c>
      <c r="D148" s="18" t="s">
        <v>147</v>
      </c>
      <c r="E148" s="10" t="s">
        <v>36</v>
      </c>
      <c r="F148" s="18" t="s">
        <v>57</v>
      </c>
      <c r="G148" s="18" t="s">
        <v>17</v>
      </c>
      <c r="H148" s="18" t="s">
        <v>18</v>
      </c>
      <c r="I148" s="18" t="s">
        <v>485</v>
      </c>
      <c r="J148" s="18">
        <v>7</v>
      </c>
      <c r="K148" s="10" t="s">
        <v>20</v>
      </c>
      <c r="L148" s="18">
        <v>10</v>
      </c>
      <c r="M148" s="18">
        <v>8</v>
      </c>
      <c r="N148" s="18">
        <v>10</v>
      </c>
      <c r="O148" s="18" t="s">
        <v>21</v>
      </c>
      <c r="P148" s="18">
        <v>8</v>
      </c>
      <c r="Q148" s="18" t="s">
        <v>22</v>
      </c>
      <c r="R148" s="18" t="s">
        <v>112</v>
      </c>
      <c r="S148" s="18">
        <v>5</v>
      </c>
      <c r="T148" s="18" t="s">
        <v>25</v>
      </c>
      <c r="U148" s="18" t="s">
        <v>54</v>
      </c>
      <c r="V148" s="18">
        <v>10</v>
      </c>
      <c r="W148" s="18" t="s">
        <v>486</v>
      </c>
    </row>
    <row r="149" spans="1:23" ht="18.95" customHeight="1">
      <c r="A149" s="7">
        <v>148</v>
      </c>
      <c r="B149" s="15">
        <v>1979</v>
      </c>
      <c r="C149" s="9" t="s">
        <v>13</v>
      </c>
      <c r="D149" s="16" t="s">
        <v>297</v>
      </c>
      <c r="E149" s="13" t="s">
        <v>42</v>
      </c>
      <c r="F149" s="16" t="s">
        <v>57</v>
      </c>
      <c r="G149" s="13" t="s">
        <v>159</v>
      </c>
      <c r="H149" s="16" t="s">
        <v>18</v>
      </c>
      <c r="I149" s="16" t="s">
        <v>31</v>
      </c>
      <c r="J149" s="16">
        <v>7</v>
      </c>
      <c r="K149" s="13" t="s">
        <v>20</v>
      </c>
      <c r="L149" s="16">
        <v>7</v>
      </c>
      <c r="M149" s="16">
        <v>8</v>
      </c>
      <c r="N149" s="16">
        <v>10</v>
      </c>
      <c r="O149" s="16" t="s">
        <v>312</v>
      </c>
      <c r="P149" s="16">
        <v>10</v>
      </c>
      <c r="Q149" s="16" t="s">
        <v>64</v>
      </c>
      <c r="R149" s="16" t="s">
        <v>112</v>
      </c>
      <c r="S149" s="16">
        <v>8</v>
      </c>
      <c r="T149" s="16" t="s">
        <v>34</v>
      </c>
      <c r="U149" s="16" t="s">
        <v>80</v>
      </c>
      <c r="V149" s="16">
        <v>7</v>
      </c>
      <c r="W149" s="16" t="s">
        <v>359</v>
      </c>
    </row>
    <row r="150" spans="1:23" ht="18.95" customHeight="1">
      <c r="A150" s="7">
        <v>149</v>
      </c>
      <c r="B150" s="15">
        <v>1979</v>
      </c>
      <c r="C150" s="9" t="s">
        <v>13</v>
      </c>
      <c r="D150" s="16" t="s">
        <v>89</v>
      </c>
      <c r="E150" s="13" t="s">
        <v>90</v>
      </c>
      <c r="F150" s="16" t="s">
        <v>57</v>
      </c>
      <c r="G150" s="13" t="s">
        <v>17</v>
      </c>
      <c r="H150" s="16" t="s">
        <v>48</v>
      </c>
      <c r="I150" s="16" t="s">
        <v>491</v>
      </c>
      <c r="J150" s="16">
        <v>6</v>
      </c>
      <c r="K150" s="13" t="s">
        <v>20</v>
      </c>
      <c r="L150" s="16">
        <v>9</v>
      </c>
      <c r="M150" s="16">
        <v>6</v>
      </c>
      <c r="N150" s="16">
        <v>10</v>
      </c>
      <c r="O150" s="16" t="s">
        <v>21</v>
      </c>
      <c r="P150" s="16">
        <v>7</v>
      </c>
      <c r="Q150" s="16" t="s">
        <v>22</v>
      </c>
      <c r="R150" s="16" t="s">
        <v>45</v>
      </c>
      <c r="S150" s="16">
        <v>10</v>
      </c>
      <c r="T150" s="16" t="s">
        <v>34</v>
      </c>
      <c r="U150" s="16" t="s">
        <v>54</v>
      </c>
      <c r="V150" s="16">
        <v>10</v>
      </c>
      <c r="W150" s="16" t="s">
        <v>384</v>
      </c>
    </row>
    <row r="151" spans="1:23" ht="18.95" customHeight="1">
      <c r="A151" s="7">
        <v>150</v>
      </c>
      <c r="B151" s="15">
        <v>1979</v>
      </c>
      <c r="C151" s="9" t="s">
        <v>13</v>
      </c>
      <c r="D151" s="16" t="s">
        <v>89</v>
      </c>
      <c r="E151" s="13" t="s">
        <v>90</v>
      </c>
      <c r="F151" s="16" t="s">
        <v>57</v>
      </c>
      <c r="G151" s="13" t="s">
        <v>17</v>
      </c>
      <c r="H151" s="16" t="s">
        <v>18</v>
      </c>
      <c r="I151" s="16" t="s">
        <v>84</v>
      </c>
      <c r="J151" s="16">
        <v>8</v>
      </c>
      <c r="K151" s="13" t="s">
        <v>20</v>
      </c>
      <c r="L151" s="16">
        <v>8</v>
      </c>
      <c r="M151" s="16">
        <v>8</v>
      </c>
      <c r="N151" s="16">
        <v>6</v>
      </c>
      <c r="O151" s="16" t="s">
        <v>21</v>
      </c>
      <c r="P151" s="16">
        <v>8</v>
      </c>
      <c r="Q151" s="16" t="s">
        <v>37</v>
      </c>
      <c r="R151" s="16" t="s">
        <v>492</v>
      </c>
      <c r="S151" s="16">
        <v>8</v>
      </c>
      <c r="T151" s="16" t="s">
        <v>34</v>
      </c>
      <c r="U151" s="16" t="s">
        <v>26</v>
      </c>
      <c r="V151" s="16">
        <v>9</v>
      </c>
      <c r="W151" s="16" t="s">
        <v>493</v>
      </c>
    </row>
    <row r="152" spans="1:23" ht="18.95" customHeight="1">
      <c r="A152" s="7">
        <v>151</v>
      </c>
      <c r="B152" s="17">
        <v>1979</v>
      </c>
      <c r="C152" s="9" t="s">
        <v>13</v>
      </c>
      <c r="D152" s="18" t="s">
        <v>327</v>
      </c>
      <c r="E152" s="10" t="s">
        <v>87</v>
      </c>
      <c r="F152" s="18" t="s">
        <v>57</v>
      </c>
      <c r="G152" s="10" t="s">
        <v>17</v>
      </c>
      <c r="H152" s="18" t="s">
        <v>18</v>
      </c>
      <c r="I152" s="18" t="s">
        <v>494</v>
      </c>
      <c r="J152" s="18">
        <v>9</v>
      </c>
      <c r="K152" s="10" t="s">
        <v>20</v>
      </c>
      <c r="L152" s="18">
        <v>9</v>
      </c>
      <c r="M152" s="18">
        <v>10</v>
      </c>
      <c r="N152" s="18">
        <v>1</v>
      </c>
      <c r="O152" s="18" t="s">
        <v>21</v>
      </c>
      <c r="P152" s="18">
        <v>8</v>
      </c>
      <c r="Q152" s="18" t="s">
        <v>285</v>
      </c>
      <c r="R152" s="18" t="s">
        <v>23</v>
      </c>
      <c r="S152" s="18">
        <v>8</v>
      </c>
      <c r="T152" s="18" t="s">
        <v>146</v>
      </c>
      <c r="U152" s="18" t="s">
        <v>97</v>
      </c>
      <c r="V152" s="18">
        <v>7</v>
      </c>
      <c r="W152" s="18" t="s">
        <v>495</v>
      </c>
    </row>
    <row r="153" spans="1:23" ht="18.95" customHeight="1">
      <c r="A153" s="7">
        <v>152</v>
      </c>
      <c r="B153" s="12">
        <v>1980</v>
      </c>
      <c r="C153" s="9" t="s">
        <v>13</v>
      </c>
      <c r="D153" s="13" t="s">
        <v>98</v>
      </c>
      <c r="E153" s="13" t="s">
        <v>15</v>
      </c>
      <c r="F153" s="13" t="s">
        <v>16</v>
      </c>
      <c r="G153" s="13" t="s">
        <v>103</v>
      </c>
      <c r="H153" s="13" t="s">
        <v>18</v>
      </c>
      <c r="I153" s="13" t="s">
        <v>81</v>
      </c>
      <c r="J153" s="13">
        <v>7</v>
      </c>
      <c r="K153" s="13" t="s">
        <v>32</v>
      </c>
      <c r="L153" s="13">
        <v>6</v>
      </c>
      <c r="M153" s="13">
        <v>6</v>
      </c>
      <c r="N153" s="13">
        <v>7</v>
      </c>
      <c r="O153" s="13" t="s">
        <v>21</v>
      </c>
      <c r="P153" s="13">
        <v>3</v>
      </c>
      <c r="Q153" s="13" t="s">
        <v>285</v>
      </c>
      <c r="R153" s="13" t="s">
        <v>286</v>
      </c>
      <c r="S153" s="13">
        <v>3</v>
      </c>
      <c r="T153" s="13" t="s">
        <v>34</v>
      </c>
      <c r="U153" s="13" t="s">
        <v>68</v>
      </c>
      <c r="V153" s="13">
        <v>6</v>
      </c>
      <c r="W153" s="14" t="s">
        <v>287</v>
      </c>
    </row>
    <row r="154" spans="1:23" ht="18.95" customHeight="1">
      <c r="A154" s="7">
        <v>153</v>
      </c>
      <c r="B154" s="8">
        <v>1980</v>
      </c>
      <c r="C154" s="9" t="s">
        <v>13</v>
      </c>
      <c r="D154" s="10" t="s">
        <v>147</v>
      </c>
      <c r="E154" s="10" t="s">
        <v>36</v>
      </c>
      <c r="F154" s="10" t="s">
        <v>16</v>
      </c>
      <c r="G154" s="10" t="s">
        <v>103</v>
      </c>
      <c r="H154" s="10" t="s">
        <v>18</v>
      </c>
      <c r="I154" s="10" t="s">
        <v>84</v>
      </c>
      <c r="J154" s="10">
        <v>9</v>
      </c>
      <c r="K154" s="10" t="s">
        <v>85</v>
      </c>
      <c r="L154" s="10">
        <v>9</v>
      </c>
      <c r="M154" s="10">
        <v>6</v>
      </c>
      <c r="N154" s="10">
        <v>6</v>
      </c>
      <c r="O154" s="10" t="s">
        <v>21</v>
      </c>
      <c r="P154" s="10">
        <v>6</v>
      </c>
      <c r="Q154" s="10" t="s">
        <v>22</v>
      </c>
      <c r="R154" s="10" t="s">
        <v>29</v>
      </c>
      <c r="S154" s="10">
        <v>9</v>
      </c>
      <c r="T154" s="10" t="s">
        <v>25</v>
      </c>
      <c r="U154" s="10" t="s">
        <v>26</v>
      </c>
      <c r="V154" s="10">
        <v>9</v>
      </c>
      <c r="W154" s="11" t="s">
        <v>288</v>
      </c>
    </row>
    <row r="155" spans="1:23" ht="18.95" customHeight="1">
      <c r="A155" s="7">
        <v>154</v>
      </c>
      <c r="B155" s="12">
        <v>1980</v>
      </c>
      <c r="C155" s="9" t="s">
        <v>13</v>
      </c>
      <c r="D155" s="13" t="s">
        <v>89</v>
      </c>
      <c r="E155" s="13" t="s">
        <v>90</v>
      </c>
      <c r="F155" s="13" t="s">
        <v>57</v>
      </c>
      <c r="G155" s="13" t="s">
        <v>103</v>
      </c>
      <c r="H155" s="13" t="s">
        <v>18</v>
      </c>
      <c r="I155" s="13" t="s">
        <v>84</v>
      </c>
      <c r="J155" s="13">
        <v>9</v>
      </c>
      <c r="K155" s="13" t="s">
        <v>50</v>
      </c>
      <c r="L155" s="13">
        <v>10</v>
      </c>
      <c r="M155" s="13">
        <v>10</v>
      </c>
      <c r="N155" s="13">
        <v>8</v>
      </c>
      <c r="O155" s="13" t="s">
        <v>21</v>
      </c>
      <c r="P155" s="13">
        <v>9</v>
      </c>
      <c r="Q155" s="13" t="s">
        <v>44</v>
      </c>
      <c r="R155" s="13" t="s">
        <v>33</v>
      </c>
      <c r="S155" s="13">
        <v>10</v>
      </c>
      <c r="T155" s="13" t="s">
        <v>53</v>
      </c>
      <c r="U155" s="13" t="s">
        <v>26</v>
      </c>
      <c r="V155" s="13">
        <v>9</v>
      </c>
      <c r="W155" s="14" t="s">
        <v>289</v>
      </c>
    </row>
    <row r="156" spans="1:23" ht="18.95" customHeight="1">
      <c r="A156" s="7">
        <v>155</v>
      </c>
      <c r="B156" s="8">
        <v>1980</v>
      </c>
      <c r="C156" s="9" t="s">
        <v>13</v>
      </c>
      <c r="D156" s="10" t="s">
        <v>147</v>
      </c>
      <c r="E156" s="10" t="s">
        <v>36</v>
      </c>
      <c r="F156" s="10" t="s">
        <v>16</v>
      </c>
      <c r="G156" s="10" t="s">
        <v>17</v>
      </c>
      <c r="H156" s="10" t="s">
        <v>18</v>
      </c>
      <c r="I156" s="10" t="s">
        <v>76</v>
      </c>
      <c r="J156" s="10">
        <v>8</v>
      </c>
      <c r="K156" s="10" t="s">
        <v>93</v>
      </c>
      <c r="L156" s="10">
        <v>8</v>
      </c>
      <c r="M156" s="10">
        <v>10</v>
      </c>
      <c r="N156" s="10">
        <v>8</v>
      </c>
      <c r="O156" s="10" t="s">
        <v>21</v>
      </c>
      <c r="P156" s="10">
        <v>8</v>
      </c>
      <c r="Q156" s="10" t="s">
        <v>59</v>
      </c>
      <c r="R156" s="10" t="s">
        <v>112</v>
      </c>
      <c r="S156" s="10">
        <v>10</v>
      </c>
      <c r="T156" s="10" t="s">
        <v>291</v>
      </c>
      <c r="U156" s="10" t="s">
        <v>97</v>
      </c>
      <c r="V156" s="10">
        <v>9</v>
      </c>
      <c r="W156" s="11" t="s">
        <v>290</v>
      </c>
    </row>
    <row r="157" spans="1:23" ht="18.95" customHeight="1">
      <c r="A157" s="7">
        <v>156</v>
      </c>
      <c r="B157" s="19">
        <v>1991</v>
      </c>
      <c r="C157" s="20" t="s">
        <v>351</v>
      </c>
      <c r="D157" s="21" t="s">
        <v>14</v>
      </c>
      <c r="E157" s="22" t="s">
        <v>15</v>
      </c>
      <c r="F157" s="21" t="s">
        <v>57</v>
      </c>
      <c r="G157" s="21" t="s">
        <v>103</v>
      </c>
      <c r="H157" s="21" t="s">
        <v>18</v>
      </c>
      <c r="I157" s="21" t="s">
        <v>81</v>
      </c>
      <c r="J157" s="21">
        <v>9</v>
      </c>
      <c r="K157" s="21" t="s">
        <v>20</v>
      </c>
      <c r="L157" s="21">
        <v>7</v>
      </c>
      <c r="M157" s="21">
        <v>10</v>
      </c>
      <c r="N157" s="21">
        <v>8</v>
      </c>
      <c r="O157" s="21" t="s">
        <v>21</v>
      </c>
      <c r="P157" s="21">
        <v>10</v>
      </c>
      <c r="Q157" s="21" t="s">
        <v>37</v>
      </c>
      <c r="R157" s="21" t="s">
        <v>248</v>
      </c>
      <c r="S157" s="21">
        <v>10</v>
      </c>
      <c r="T157" s="21" t="s">
        <v>34</v>
      </c>
      <c r="U157" s="21" t="s">
        <v>140</v>
      </c>
      <c r="V157" s="21">
        <v>7</v>
      </c>
      <c r="W157" s="21" t="s">
        <v>531</v>
      </c>
    </row>
    <row r="158" spans="1:23" ht="18.95" customHeight="1">
      <c r="A158" s="7">
        <v>157</v>
      </c>
      <c r="B158" s="12">
        <v>1993</v>
      </c>
      <c r="C158" s="20" t="s">
        <v>351</v>
      </c>
      <c r="D158" s="13" t="s">
        <v>14</v>
      </c>
      <c r="E158" s="13" t="s">
        <v>15</v>
      </c>
      <c r="F158" s="13" t="s">
        <v>57</v>
      </c>
      <c r="G158" s="13" t="s">
        <v>103</v>
      </c>
      <c r="H158" s="13" t="s">
        <v>18</v>
      </c>
      <c r="I158" s="13" t="s">
        <v>162</v>
      </c>
      <c r="J158" s="13">
        <v>8</v>
      </c>
      <c r="K158" s="13" t="s">
        <v>93</v>
      </c>
      <c r="L158" s="13">
        <v>4</v>
      </c>
      <c r="M158" s="13">
        <v>9</v>
      </c>
      <c r="N158" s="13">
        <v>3</v>
      </c>
      <c r="O158" s="13" t="s">
        <v>43</v>
      </c>
      <c r="P158" s="13">
        <v>9</v>
      </c>
      <c r="Q158" s="13" t="s">
        <v>22</v>
      </c>
      <c r="R158" s="13" t="s">
        <v>45</v>
      </c>
      <c r="S158" s="13">
        <v>1</v>
      </c>
      <c r="T158" s="13" t="s">
        <v>34</v>
      </c>
      <c r="U158" s="13" t="s">
        <v>97</v>
      </c>
      <c r="V158" s="13">
        <v>7</v>
      </c>
      <c r="W158" s="13" t="s">
        <v>355</v>
      </c>
    </row>
    <row r="159" spans="1:23" ht="18.95" customHeight="1">
      <c r="A159" s="7">
        <v>158</v>
      </c>
      <c r="B159" s="8">
        <v>1993</v>
      </c>
      <c r="C159" s="20" t="s">
        <v>351</v>
      </c>
      <c r="D159" s="10" t="s">
        <v>89</v>
      </c>
      <c r="E159" s="10" t="s">
        <v>90</v>
      </c>
      <c r="F159" s="10" t="s">
        <v>57</v>
      </c>
      <c r="G159" s="10" t="s">
        <v>17</v>
      </c>
      <c r="H159" s="10" t="s">
        <v>18</v>
      </c>
      <c r="I159" s="10" t="s">
        <v>368</v>
      </c>
      <c r="J159" s="10">
        <v>8</v>
      </c>
      <c r="K159" s="10" t="s">
        <v>20</v>
      </c>
      <c r="L159" s="10">
        <v>8</v>
      </c>
      <c r="M159" s="10">
        <v>10</v>
      </c>
      <c r="N159" s="10">
        <v>8</v>
      </c>
      <c r="O159" s="10" t="s">
        <v>21</v>
      </c>
      <c r="P159" s="10">
        <v>10</v>
      </c>
      <c r="Q159" s="10" t="s">
        <v>22</v>
      </c>
      <c r="R159" s="10" t="s">
        <v>29</v>
      </c>
      <c r="S159" s="10">
        <v>10</v>
      </c>
      <c r="T159" s="10" t="s">
        <v>34</v>
      </c>
      <c r="U159" s="10" t="s">
        <v>54</v>
      </c>
      <c r="V159" s="10">
        <v>9</v>
      </c>
      <c r="W159" s="10" t="s">
        <v>207</v>
      </c>
    </row>
    <row r="160" spans="1:23" ht="18.95" customHeight="1">
      <c r="A160" s="7">
        <v>159</v>
      </c>
      <c r="B160" s="12">
        <v>1993</v>
      </c>
      <c r="C160" s="20" t="s">
        <v>351</v>
      </c>
      <c r="D160" s="13" t="s">
        <v>102</v>
      </c>
      <c r="E160" s="13" t="s">
        <v>36</v>
      </c>
      <c r="F160" s="13" t="s">
        <v>16</v>
      </c>
      <c r="G160" s="13" t="s">
        <v>103</v>
      </c>
      <c r="H160" s="13" t="s">
        <v>18</v>
      </c>
      <c r="I160" s="13" t="s">
        <v>84</v>
      </c>
      <c r="J160" s="13">
        <v>9</v>
      </c>
      <c r="K160" s="13" t="s">
        <v>32</v>
      </c>
      <c r="L160" s="13">
        <v>6</v>
      </c>
      <c r="M160" s="13">
        <v>5</v>
      </c>
      <c r="N160" s="13">
        <v>6</v>
      </c>
      <c r="O160" s="13" t="s">
        <v>21</v>
      </c>
      <c r="P160" s="13">
        <v>6</v>
      </c>
      <c r="Q160" s="13" t="s">
        <v>125</v>
      </c>
      <c r="R160" s="13" t="s">
        <v>373</v>
      </c>
      <c r="S160" s="13">
        <v>10</v>
      </c>
      <c r="T160" s="13" t="s">
        <v>265</v>
      </c>
      <c r="U160" s="13" t="s">
        <v>62</v>
      </c>
      <c r="V160" s="13">
        <v>7</v>
      </c>
      <c r="W160" s="13" t="s">
        <v>374</v>
      </c>
    </row>
    <row r="161" spans="1:23" ht="18.95" customHeight="1">
      <c r="A161" s="7">
        <v>160</v>
      </c>
      <c r="B161" s="8">
        <v>1993</v>
      </c>
      <c r="C161" s="20" t="s">
        <v>351</v>
      </c>
      <c r="D161" s="10" t="s">
        <v>86</v>
      </c>
      <c r="E161" s="10" t="s">
        <v>87</v>
      </c>
      <c r="F161" s="10" t="s">
        <v>57</v>
      </c>
      <c r="G161" s="10" t="s">
        <v>17</v>
      </c>
      <c r="H161" s="10" t="s">
        <v>18</v>
      </c>
      <c r="I161" s="10" t="s">
        <v>319</v>
      </c>
      <c r="J161" s="10">
        <v>9</v>
      </c>
      <c r="K161" s="10" t="s">
        <v>20</v>
      </c>
      <c r="L161" s="10">
        <v>8</v>
      </c>
      <c r="M161" s="10">
        <v>5</v>
      </c>
      <c r="N161" s="10">
        <v>7</v>
      </c>
      <c r="O161" s="10" t="s">
        <v>21</v>
      </c>
      <c r="P161" s="10">
        <v>9</v>
      </c>
      <c r="Q161" s="10" t="s">
        <v>22</v>
      </c>
      <c r="R161" s="10" t="s">
        <v>33</v>
      </c>
      <c r="S161" s="10">
        <v>10</v>
      </c>
      <c r="T161" s="10" t="s">
        <v>111</v>
      </c>
      <c r="U161" s="10" t="s">
        <v>54</v>
      </c>
      <c r="V161" s="10">
        <v>10</v>
      </c>
      <c r="W161" s="10" t="s">
        <v>375</v>
      </c>
    </row>
    <row r="162" spans="1:23" ht="18.95" customHeight="1">
      <c r="A162" s="7">
        <v>161</v>
      </c>
      <c r="B162" s="12">
        <v>1993</v>
      </c>
      <c r="C162" s="20" t="s">
        <v>351</v>
      </c>
      <c r="D162" s="13" t="s">
        <v>147</v>
      </c>
      <c r="E162" s="13" t="s">
        <v>36</v>
      </c>
      <c r="F162" s="13" t="s">
        <v>16</v>
      </c>
      <c r="G162" s="13" t="s">
        <v>103</v>
      </c>
      <c r="H162" s="13" t="s">
        <v>18</v>
      </c>
      <c r="I162" s="13" t="s">
        <v>81</v>
      </c>
      <c r="J162" s="13">
        <v>8</v>
      </c>
      <c r="K162" s="13" t="s">
        <v>32</v>
      </c>
      <c r="L162" s="13">
        <v>8</v>
      </c>
      <c r="M162" s="13">
        <v>9</v>
      </c>
      <c r="N162" s="13">
        <v>8</v>
      </c>
      <c r="O162" s="13" t="s">
        <v>94</v>
      </c>
      <c r="P162" s="13">
        <v>8</v>
      </c>
      <c r="Q162" s="13" t="s">
        <v>64</v>
      </c>
      <c r="R162" s="13" t="s">
        <v>29</v>
      </c>
      <c r="S162" s="13">
        <v>3</v>
      </c>
      <c r="T162" s="13" t="s">
        <v>34</v>
      </c>
      <c r="U162" s="13" t="s">
        <v>62</v>
      </c>
      <c r="V162" s="13">
        <v>7</v>
      </c>
      <c r="W162" s="13" t="s">
        <v>323</v>
      </c>
    </row>
    <row r="163" spans="1:23" ht="18.95" customHeight="1">
      <c r="A163" s="7">
        <v>162</v>
      </c>
      <c r="B163" s="8">
        <v>1993</v>
      </c>
      <c r="C163" s="20" t="s">
        <v>351</v>
      </c>
      <c r="D163" s="10" t="s">
        <v>86</v>
      </c>
      <c r="E163" s="10" t="s">
        <v>87</v>
      </c>
      <c r="F163" s="10" t="s">
        <v>16</v>
      </c>
      <c r="G163" s="10" t="s">
        <v>103</v>
      </c>
      <c r="H163" s="10" t="s">
        <v>18</v>
      </c>
      <c r="I163" s="10" t="s">
        <v>49</v>
      </c>
      <c r="J163" s="10">
        <v>7</v>
      </c>
      <c r="K163" s="10" t="s">
        <v>85</v>
      </c>
      <c r="L163" s="10">
        <v>8</v>
      </c>
      <c r="M163" s="10">
        <v>10</v>
      </c>
      <c r="N163" s="10">
        <v>9</v>
      </c>
      <c r="O163" s="10" t="s">
        <v>21</v>
      </c>
      <c r="P163" s="10">
        <v>7</v>
      </c>
      <c r="Q163" s="10" t="s">
        <v>59</v>
      </c>
      <c r="R163" s="10" t="s">
        <v>112</v>
      </c>
      <c r="S163" s="10">
        <v>9</v>
      </c>
      <c r="T163" s="10" t="s">
        <v>34</v>
      </c>
      <c r="U163" s="10" t="s">
        <v>140</v>
      </c>
      <c r="V163" s="10">
        <v>9</v>
      </c>
      <c r="W163" s="10" t="s">
        <v>250</v>
      </c>
    </row>
    <row r="164" spans="1:23" ht="18.95" customHeight="1">
      <c r="A164" s="7">
        <v>163</v>
      </c>
      <c r="B164" s="12">
        <v>1993</v>
      </c>
      <c r="C164" s="20" t="s">
        <v>351</v>
      </c>
      <c r="D164" s="13" t="s">
        <v>83</v>
      </c>
      <c r="E164" s="13" t="s">
        <v>36</v>
      </c>
      <c r="F164" s="13" t="s">
        <v>57</v>
      </c>
      <c r="G164" s="13" t="s">
        <v>103</v>
      </c>
      <c r="H164" s="13" t="s">
        <v>18</v>
      </c>
      <c r="I164" s="13" t="s">
        <v>81</v>
      </c>
      <c r="J164" s="13">
        <v>10</v>
      </c>
      <c r="K164" s="13" t="s">
        <v>20</v>
      </c>
      <c r="L164" s="13">
        <v>9</v>
      </c>
      <c r="M164" s="13">
        <v>1</v>
      </c>
      <c r="N164" s="13">
        <v>4</v>
      </c>
      <c r="O164" s="13" t="s">
        <v>21</v>
      </c>
      <c r="P164" s="13">
        <v>10</v>
      </c>
      <c r="Q164" s="13" t="s">
        <v>164</v>
      </c>
      <c r="R164" s="13" t="s">
        <v>33</v>
      </c>
      <c r="S164" s="13">
        <v>10</v>
      </c>
      <c r="T164" s="13" t="s">
        <v>34</v>
      </c>
      <c r="U164" s="13" t="s">
        <v>68</v>
      </c>
      <c r="V164" s="13">
        <v>5</v>
      </c>
      <c r="W164" s="13" t="s">
        <v>341</v>
      </c>
    </row>
    <row r="165" spans="1:23" ht="18.95" customHeight="1">
      <c r="A165" s="7">
        <v>164</v>
      </c>
      <c r="B165" s="8">
        <v>1994</v>
      </c>
      <c r="C165" s="20" t="s">
        <v>351</v>
      </c>
      <c r="D165" s="10" t="s">
        <v>166</v>
      </c>
      <c r="E165" s="10" t="s">
        <v>56</v>
      </c>
      <c r="F165" s="10" t="s">
        <v>57</v>
      </c>
      <c r="G165" s="10" t="s">
        <v>17</v>
      </c>
      <c r="H165" s="10" t="s">
        <v>18</v>
      </c>
      <c r="I165" s="10" t="s">
        <v>170</v>
      </c>
      <c r="J165" s="10">
        <v>7</v>
      </c>
      <c r="K165" s="10" t="s">
        <v>50</v>
      </c>
      <c r="L165" s="10">
        <v>7</v>
      </c>
      <c r="M165" s="10">
        <v>5</v>
      </c>
      <c r="N165" s="10">
        <v>5</v>
      </c>
      <c r="O165" s="10" t="s">
        <v>94</v>
      </c>
      <c r="P165" s="10">
        <v>9</v>
      </c>
      <c r="Q165" s="10" t="s">
        <v>44</v>
      </c>
      <c r="R165" s="10" t="s">
        <v>23</v>
      </c>
      <c r="S165" s="10">
        <v>5</v>
      </c>
      <c r="T165" s="10" t="s">
        <v>34</v>
      </c>
      <c r="U165" s="10" t="s">
        <v>80</v>
      </c>
      <c r="V165" s="10">
        <v>9</v>
      </c>
      <c r="W165" s="11" t="s">
        <v>378</v>
      </c>
    </row>
    <row r="166" spans="1:23" ht="18.95" customHeight="1">
      <c r="A166" s="7">
        <v>165</v>
      </c>
      <c r="B166" s="12">
        <v>1994</v>
      </c>
      <c r="C166" s="20" t="s">
        <v>351</v>
      </c>
      <c r="D166" s="13" t="s">
        <v>141</v>
      </c>
      <c r="E166" s="13" t="s">
        <v>87</v>
      </c>
      <c r="F166" s="13" t="s">
        <v>57</v>
      </c>
      <c r="G166" s="13" t="s">
        <v>103</v>
      </c>
      <c r="H166" s="13" t="s">
        <v>18</v>
      </c>
      <c r="I166" s="13" t="s">
        <v>108</v>
      </c>
      <c r="J166" s="13">
        <v>10</v>
      </c>
      <c r="K166" s="13" t="s">
        <v>50</v>
      </c>
      <c r="L166" s="13">
        <v>8</v>
      </c>
      <c r="M166" s="13">
        <v>10</v>
      </c>
      <c r="N166" s="13">
        <v>10</v>
      </c>
      <c r="O166" s="13" t="s">
        <v>21</v>
      </c>
      <c r="P166" s="13">
        <v>10</v>
      </c>
      <c r="Q166" s="13" t="s">
        <v>44</v>
      </c>
      <c r="R166" s="13" t="s">
        <v>117</v>
      </c>
      <c r="S166" s="13">
        <v>10</v>
      </c>
      <c r="T166" s="13" t="s">
        <v>53</v>
      </c>
      <c r="U166" s="13" t="s">
        <v>140</v>
      </c>
      <c r="V166" s="13">
        <v>10</v>
      </c>
      <c r="W166" s="14" t="s">
        <v>304</v>
      </c>
    </row>
    <row r="167" spans="1:23" ht="18.95" customHeight="1">
      <c r="A167" s="7">
        <v>166</v>
      </c>
      <c r="B167" s="8">
        <v>1994</v>
      </c>
      <c r="C167" s="20" t="s">
        <v>351</v>
      </c>
      <c r="D167" s="10" t="s">
        <v>203</v>
      </c>
      <c r="E167" s="10" t="s">
        <v>75</v>
      </c>
      <c r="F167" s="10" t="s">
        <v>57</v>
      </c>
      <c r="G167" s="10" t="s">
        <v>17</v>
      </c>
      <c r="H167" s="10" t="s">
        <v>18</v>
      </c>
      <c r="I167" s="10" t="s">
        <v>19</v>
      </c>
      <c r="J167" s="10">
        <v>9</v>
      </c>
      <c r="K167" s="10" t="s">
        <v>20</v>
      </c>
      <c r="L167" s="10">
        <v>9</v>
      </c>
      <c r="M167" s="10">
        <v>9</v>
      </c>
      <c r="N167" s="10">
        <v>9</v>
      </c>
      <c r="O167" s="10" t="s">
        <v>21</v>
      </c>
      <c r="P167" s="10">
        <v>10</v>
      </c>
      <c r="Q167" s="10" t="s">
        <v>59</v>
      </c>
      <c r="R167" s="10" t="s">
        <v>23</v>
      </c>
      <c r="S167" s="10">
        <v>8</v>
      </c>
      <c r="T167" s="10" t="s">
        <v>34</v>
      </c>
      <c r="U167" s="10" t="s">
        <v>26</v>
      </c>
      <c r="V167" s="10">
        <v>9</v>
      </c>
      <c r="W167" s="11" t="s">
        <v>345</v>
      </c>
    </row>
    <row r="168" spans="1:23" ht="18.95" customHeight="1">
      <c r="A168" s="7">
        <v>167</v>
      </c>
      <c r="B168" s="12">
        <v>1994</v>
      </c>
      <c r="C168" s="20" t="s">
        <v>351</v>
      </c>
      <c r="D168" s="13" t="s">
        <v>147</v>
      </c>
      <c r="E168" s="13" t="s">
        <v>36</v>
      </c>
      <c r="F168" s="13" t="s">
        <v>16</v>
      </c>
      <c r="G168" s="13" t="s">
        <v>47</v>
      </c>
      <c r="H168" s="13" t="s">
        <v>18</v>
      </c>
      <c r="I168" s="13" t="s">
        <v>162</v>
      </c>
      <c r="J168" s="13">
        <v>8</v>
      </c>
      <c r="K168" s="13" t="s">
        <v>93</v>
      </c>
      <c r="L168" s="13">
        <v>8</v>
      </c>
      <c r="M168" s="13">
        <v>7</v>
      </c>
      <c r="N168" s="13">
        <v>8</v>
      </c>
      <c r="O168" s="13" t="s">
        <v>21</v>
      </c>
      <c r="P168" s="13">
        <v>8</v>
      </c>
      <c r="Q168" s="13" t="s">
        <v>22</v>
      </c>
      <c r="R168" s="13" t="s">
        <v>33</v>
      </c>
      <c r="S168" s="13">
        <v>8</v>
      </c>
      <c r="T168" s="13" t="s">
        <v>34</v>
      </c>
      <c r="U168" s="13" t="s">
        <v>97</v>
      </c>
      <c r="V168" s="13">
        <v>8</v>
      </c>
      <c r="W168" s="14" t="s">
        <v>379</v>
      </c>
    </row>
    <row r="169" spans="1:23" ht="18.95" customHeight="1">
      <c r="A169" s="7">
        <v>168</v>
      </c>
      <c r="B169" s="8">
        <v>1994</v>
      </c>
      <c r="C169" s="20" t="s">
        <v>351</v>
      </c>
      <c r="D169" s="10" t="s">
        <v>166</v>
      </c>
      <c r="E169" s="10" t="s">
        <v>56</v>
      </c>
      <c r="F169" s="10" t="s">
        <v>16</v>
      </c>
      <c r="G169" s="10" t="s">
        <v>103</v>
      </c>
      <c r="H169" s="10" t="s">
        <v>18</v>
      </c>
      <c r="I169" s="10" t="s">
        <v>162</v>
      </c>
      <c r="J169" s="10">
        <v>9</v>
      </c>
      <c r="K169" s="10" t="s">
        <v>50</v>
      </c>
      <c r="L169" s="10">
        <v>10</v>
      </c>
      <c r="M169" s="10">
        <v>8</v>
      </c>
      <c r="N169" s="10">
        <v>10</v>
      </c>
      <c r="O169" s="10" t="s">
        <v>94</v>
      </c>
      <c r="P169" s="10">
        <v>5</v>
      </c>
      <c r="Q169" s="10" t="s">
        <v>22</v>
      </c>
      <c r="R169" s="10" t="s">
        <v>33</v>
      </c>
      <c r="S169" s="10">
        <v>10</v>
      </c>
      <c r="T169" s="10" t="s">
        <v>34</v>
      </c>
      <c r="U169" s="10" t="s">
        <v>26</v>
      </c>
      <c r="V169" s="10">
        <v>10</v>
      </c>
      <c r="W169" s="11" t="s">
        <v>187</v>
      </c>
    </row>
    <row r="170" spans="1:23" ht="18.95" customHeight="1">
      <c r="A170" s="7">
        <v>169</v>
      </c>
      <c r="B170" s="12">
        <v>1994</v>
      </c>
      <c r="C170" s="20" t="s">
        <v>351</v>
      </c>
      <c r="D170" s="13" t="s">
        <v>168</v>
      </c>
      <c r="E170" s="13" t="s">
        <v>15</v>
      </c>
      <c r="F170" s="13" t="s">
        <v>57</v>
      </c>
      <c r="G170" s="13" t="s">
        <v>17</v>
      </c>
      <c r="H170" s="13" t="s">
        <v>18</v>
      </c>
      <c r="I170" s="13" t="s">
        <v>295</v>
      </c>
      <c r="J170" s="13">
        <v>7</v>
      </c>
      <c r="K170" s="13" t="s">
        <v>20</v>
      </c>
      <c r="L170" s="13">
        <v>9</v>
      </c>
      <c r="M170" s="13">
        <v>1</v>
      </c>
      <c r="N170" s="13">
        <v>8</v>
      </c>
      <c r="O170" s="13" t="s">
        <v>94</v>
      </c>
      <c r="P170" s="13">
        <v>8</v>
      </c>
      <c r="Q170" s="13" t="s">
        <v>37</v>
      </c>
      <c r="R170" s="13" t="s">
        <v>224</v>
      </c>
      <c r="S170" s="13">
        <v>10</v>
      </c>
      <c r="T170" s="13" t="s">
        <v>251</v>
      </c>
      <c r="U170" s="13" t="s">
        <v>140</v>
      </c>
      <c r="V170" s="13">
        <v>6</v>
      </c>
      <c r="W170" s="14" t="s">
        <v>380</v>
      </c>
    </row>
    <row r="171" spans="1:23" ht="18.95" customHeight="1">
      <c r="A171" s="7">
        <v>170</v>
      </c>
      <c r="B171" s="8">
        <v>1994</v>
      </c>
      <c r="C171" s="20" t="s">
        <v>351</v>
      </c>
      <c r="D171" s="10" t="s">
        <v>55</v>
      </c>
      <c r="E171" s="10" t="s">
        <v>56</v>
      </c>
      <c r="F171" s="10" t="s">
        <v>57</v>
      </c>
      <c r="G171" s="10" t="s">
        <v>17</v>
      </c>
      <c r="H171" s="10" t="s">
        <v>18</v>
      </c>
      <c r="I171" s="10" t="s">
        <v>319</v>
      </c>
      <c r="J171" s="10">
        <v>8</v>
      </c>
      <c r="K171" s="10" t="s">
        <v>20</v>
      </c>
      <c r="L171" s="10">
        <v>7</v>
      </c>
      <c r="M171" s="10">
        <v>10</v>
      </c>
      <c r="N171" s="10">
        <v>8</v>
      </c>
      <c r="O171" s="10" t="s">
        <v>21</v>
      </c>
      <c r="P171" s="10">
        <v>9</v>
      </c>
      <c r="Q171" s="10" t="s">
        <v>59</v>
      </c>
      <c r="R171" s="10" t="s">
        <v>33</v>
      </c>
      <c r="S171" s="10">
        <v>6</v>
      </c>
      <c r="T171" s="10" t="s">
        <v>34</v>
      </c>
      <c r="U171" s="10" t="s">
        <v>80</v>
      </c>
      <c r="V171" s="10">
        <v>7</v>
      </c>
      <c r="W171" s="11" t="s">
        <v>315</v>
      </c>
    </row>
    <row r="172" spans="1:23" ht="18.95" customHeight="1">
      <c r="A172" s="7">
        <v>171</v>
      </c>
      <c r="B172" s="12">
        <v>1994</v>
      </c>
      <c r="C172" s="20" t="s">
        <v>351</v>
      </c>
      <c r="D172" s="13" t="s">
        <v>89</v>
      </c>
      <c r="E172" s="13" t="s">
        <v>90</v>
      </c>
      <c r="F172" s="13" t="s">
        <v>57</v>
      </c>
      <c r="G172" s="13" t="s">
        <v>47</v>
      </c>
      <c r="H172" s="13" t="s">
        <v>18</v>
      </c>
      <c r="I172" s="13" t="s">
        <v>381</v>
      </c>
      <c r="J172" s="13">
        <v>8</v>
      </c>
      <c r="K172" s="13" t="s">
        <v>93</v>
      </c>
      <c r="L172" s="13">
        <v>5</v>
      </c>
      <c r="M172" s="13">
        <v>3</v>
      </c>
      <c r="N172" s="13">
        <v>7</v>
      </c>
      <c r="O172" s="13" t="s">
        <v>94</v>
      </c>
      <c r="P172" s="13">
        <v>10</v>
      </c>
      <c r="Q172" s="13" t="s">
        <v>22</v>
      </c>
      <c r="R172" s="13" t="s">
        <v>382</v>
      </c>
      <c r="S172" s="13">
        <v>1</v>
      </c>
      <c r="T172" s="13" t="s">
        <v>34</v>
      </c>
      <c r="U172" s="13" t="s">
        <v>97</v>
      </c>
      <c r="V172" s="13">
        <v>9</v>
      </c>
      <c r="W172" s="13" t="s">
        <v>355</v>
      </c>
    </row>
    <row r="173" spans="1:23" ht="18.95" customHeight="1">
      <c r="A173" s="7">
        <v>172</v>
      </c>
      <c r="B173" s="8">
        <v>1994</v>
      </c>
      <c r="C173" s="20" t="s">
        <v>351</v>
      </c>
      <c r="D173" s="10" t="s">
        <v>95</v>
      </c>
      <c r="E173" s="10" t="s">
        <v>42</v>
      </c>
      <c r="F173" s="10" t="s">
        <v>16</v>
      </c>
      <c r="G173" s="10" t="s">
        <v>17</v>
      </c>
      <c r="H173" s="10" t="s">
        <v>18</v>
      </c>
      <c r="I173" s="10" t="s">
        <v>322</v>
      </c>
      <c r="J173" s="10">
        <v>2</v>
      </c>
      <c r="K173" s="10" t="s">
        <v>20</v>
      </c>
      <c r="L173" s="10">
        <v>10</v>
      </c>
      <c r="M173" s="10">
        <v>9</v>
      </c>
      <c r="N173" s="10">
        <v>10</v>
      </c>
      <c r="O173" s="10" t="s">
        <v>21</v>
      </c>
      <c r="P173" s="10">
        <v>7</v>
      </c>
      <c r="Q173" s="10" t="s">
        <v>22</v>
      </c>
      <c r="R173" s="10" t="s">
        <v>286</v>
      </c>
      <c r="S173" s="10">
        <v>10</v>
      </c>
      <c r="T173" s="10" t="s">
        <v>34</v>
      </c>
      <c r="U173" s="10" t="s">
        <v>26</v>
      </c>
      <c r="V173" s="10">
        <v>10</v>
      </c>
      <c r="W173" s="10" t="s">
        <v>383</v>
      </c>
    </row>
    <row r="174" spans="1:23" ht="18.95" customHeight="1">
      <c r="A174" s="7">
        <v>173</v>
      </c>
      <c r="B174" s="12">
        <v>1994</v>
      </c>
      <c r="C174" s="20" t="s">
        <v>351</v>
      </c>
      <c r="D174" s="13" t="s">
        <v>258</v>
      </c>
      <c r="E174" s="13" t="s">
        <v>87</v>
      </c>
      <c r="F174" s="13" t="s">
        <v>57</v>
      </c>
      <c r="G174" s="13" t="s">
        <v>17</v>
      </c>
      <c r="H174" s="13" t="s">
        <v>18</v>
      </c>
      <c r="I174" s="13" t="s">
        <v>162</v>
      </c>
      <c r="J174" s="13">
        <v>8</v>
      </c>
      <c r="K174" s="13" t="s">
        <v>20</v>
      </c>
      <c r="L174" s="13">
        <v>7</v>
      </c>
      <c r="M174" s="13">
        <v>10</v>
      </c>
      <c r="N174" s="13">
        <v>8</v>
      </c>
      <c r="O174" s="13" t="s">
        <v>94</v>
      </c>
      <c r="P174" s="13">
        <v>7</v>
      </c>
      <c r="Q174" s="13" t="s">
        <v>22</v>
      </c>
      <c r="R174" s="13" t="s">
        <v>45</v>
      </c>
      <c r="S174" s="13">
        <v>9</v>
      </c>
      <c r="T174" s="13" t="s">
        <v>34</v>
      </c>
      <c r="U174" s="13" t="s">
        <v>140</v>
      </c>
      <c r="V174" s="13">
        <v>8</v>
      </c>
      <c r="W174" s="13" t="s">
        <v>384</v>
      </c>
    </row>
    <row r="175" spans="1:23" ht="18.95" customHeight="1">
      <c r="A175" s="7">
        <v>174</v>
      </c>
      <c r="B175" s="8">
        <v>1994</v>
      </c>
      <c r="C175" s="20" t="s">
        <v>351</v>
      </c>
      <c r="D175" s="10" t="s">
        <v>89</v>
      </c>
      <c r="E175" s="10" t="s">
        <v>90</v>
      </c>
      <c r="F175" s="10" t="s">
        <v>57</v>
      </c>
      <c r="G175" s="10" t="s">
        <v>103</v>
      </c>
      <c r="H175" s="10" t="s">
        <v>18</v>
      </c>
      <c r="I175" s="10" t="s">
        <v>162</v>
      </c>
      <c r="J175" s="10">
        <v>7</v>
      </c>
      <c r="K175" s="10" t="s">
        <v>20</v>
      </c>
      <c r="L175" s="10">
        <v>10</v>
      </c>
      <c r="M175" s="10">
        <v>10</v>
      </c>
      <c r="N175" s="10">
        <v>10</v>
      </c>
      <c r="O175" s="10" t="s">
        <v>21</v>
      </c>
      <c r="P175" s="10">
        <v>6</v>
      </c>
      <c r="Q175" s="10" t="s">
        <v>22</v>
      </c>
      <c r="R175" s="10" t="s">
        <v>33</v>
      </c>
      <c r="S175" s="10">
        <v>10</v>
      </c>
      <c r="T175" s="10" t="s">
        <v>34</v>
      </c>
      <c r="U175" s="10" t="s">
        <v>97</v>
      </c>
      <c r="V175" s="10">
        <v>10</v>
      </c>
      <c r="W175" s="10" t="s">
        <v>186</v>
      </c>
    </row>
    <row r="176" spans="1:23" ht="18.95" customHeight="1">
      <c r="A176" s="7">
        <v>175</v>
      </c>
      <c r="B176" s="12">
        <v>1994</v>
      </c>
      <c r="C176" s="20" t="s">
        <v>351</v>
      </c>
      <c r="D176" s="13" t="s">
        <v>147</v>
      </c>
      <c r="E176" s="13" t="s">
        <v>36</v>
      </c>
      <c r="F176" s="13" t="s">
        <v>16</v>
      </c>
      <c r="G176" s="13" t="s">
        <v>103</v>
      </c>
      <c r="H176" s="13" t="s">
        <v>18</v>
      </c>
      <c r="I176" s="13" t="s">
        <v>108</v>
      </c>
      <c r="J176" s="13">
        <v>6</v>
      </c>
      <c r="K176" s="13" t="s">
        <v>85</v>
      </c>
      <c r="L176" s="13">
        <v>6</v>
      </c>
      <c r="M176" s="13">
        <v>1</v>
      </c>
      <c r="N176" s="13">
        <v>1</v>
      </c>
      <c r="O176" s="13" t="s">
        <v>21</v>
      </c>
      <c r="P176" s="13">
        <v>1</v>
      </c>
      <c r="Q176" s="13" t="s">
        <v>22</v>
      </c>
      <c r="R176" s="13" t="s">
        <v>51</v>
      </c>
      <c r="S176" s="13">
        <v>1</v>
      </c>
      <c r="T176" s="13" t="s">
        <v>34</v>
      </c>
      <c r="U176" s="13" t="s">
        <v>26</v>
      </c>
      <c r="V176" s="13">
        <v>10</v>
      </c>
      <c r="W176" s="13" t="s">
        <v>303</v>
      </c>
    </row>
    <row r="177" spans="1:23" ht="18.95" customHeight="1">
      <c r="A177" s="7">
        <v>176</v>
      </c>
      <c r="B177" s="8">
        <v>1994</v>
      </c>
      <c r="C177" s="20" t="s">
        <v>351</v>
      </c>
      <c r="D177" s="10" t="s">
        <v>86</v>
      </c>
      <c r="E177" s="10" t="s">
        <v>87</v>
      </c>
      <c r="F177" s="10" t="s">
        <v>57</v>
      </c>
      <c r="G177" s="10" t="s">
        <v>17</v>
      </c>
      <c r="H177" s="10" t="s">
        <v>18</v>
      </c>
      <c r="I177" s="10" t="s">
        <v>84</v>
      </c>
      <c r="J177" s="10">
        <v>9</v>
      </c>
      <c r="K177" s="10" t="s">
        <v>20</v>
      </c>
      <c r="L177" s="10">
        <v>9</v>
      </c>
      <c r="M177" s="10">
        <v>6</v>
      </c>
      <c r="N177" s="10">
        <v>10</v>
      </c>
      <c r="O177" s="10" t="s">
        <v>21</v>
      </c>
      <c r="P177" s="10">
        <v>8</v>
      </c>
      <c r="Q177" s="10" t="s">
        <v>44</v>
      </c>
      <c r="R177" s="10" t="s">
        <v>45</v>
      </c>
      <c r="S177" s="10">
        <v>6</v>
      </c>
      <c r="T177" s="10" t="s">
        <v>34</v>
      </c>
      <c r="U177" s="10" t="s">
        <v>140</v>
      </c>
      <c r="V177" s="10">
        <v>9</v>
      </c>
      <c r="W177" s="10" t="s">
        <v>375</v>
      </c>
    </row>
    <row r="178" spans="1:23" ht="18.95" customHeight="1">
      <c r="A178" s="7">
        <v>177</v>
      </c>
      <c r="B178" s="12">
        <v>1994</v>
      </c>
      <c r="C178" s="20" t="s">
        <v>351</v>
      </c>
      <c r="D178" s="13" t="s">
        <v>35</v>
      </c>
      <c r="E178" s="13" t="s">
        <v>36</v>
      </c>
      <c r="F178" s="13" t="s">
        <v>57</v>
      </c>
      <c r="G178" s="13" t="s">
        <v>17</v>
      </c>
      <c r="H178" s="13" t="s">
        <v>18</v>
      </c>
      <c r="I178" s="13" t="s">
        <v>49</v>
      </c>
      <c r="J178" s="13">
        <v>2</v>
      </c>
      <c r="K178" s="13" t="s">
        <v>20</v>
      </c>
      <c r="L178" s="13">
        <v>10</v>
      </c>
      <c r="M178" s="13">
        <v>10</v>
      </c>
      <c r="N178" s="13">
        <v>10</v>
      </c>
      <c r="O178" s="13" t="s">
        <v>21</v>
      </c>
      <c r="P178" s="13">
        <v>5</v>
      </c>
      <c r="Q178" s="13" t="s">
        <v>22</v>
      </c>
      <c r="R178" s="13" t="s">
        <v>23</v>
      </c>
      <c r="S178" s="13">
        <v>10</v>
      </c>
      <c r="T178" s="13" t="s">
        <v>73</v>
      </c>
      <c r="U178" s="13" t="s">
        <v>97</v>
      </c>
      <c r="V178" s="13">
        <v>9</v>
      </c>
      <c r="W178" s="13" t="s">
        <v>362</v>
      </c>
    </row>
    <row r="179" spans="1:23" ht="18.95" customHeight="1">
      <c r="A179" s="7">
        <v>178</v>
      </c>
      <c r="B179" s="8">
        <v>1994</v>
      </c>
      <c r="C179" s="20" t="s">
        <v>351</v>
      </c>
      <c r="D179" s="10" t="s">
        <v>35</v>
      </c>
      <c r="E179" s="10" t="s">
        <v>36</v>
      </c>
      <c r="F179" s="10" t="s">
        <v>57</v>
      </c>
      <c r="G179" s="10" t="s">
        <v>17</v>
      </c>
      <c r="H179" s="10" t="s">
        <v>18</v>
      </c>
      <c r="I179" s="10" t="s">
        <v>108</v>
      </c>
      <c r="J179" s="10">
        <v>8</v>
      </c>
      <c r="K179" s="10" t="s">
        <v>20</v>
      </c>
      <c r="L179" s="10">
        <v>10</v>
      </c>
      <c r="M179" s="10">
        <v>8</v>
      </c>
      <c r="N179" s="10">
        <v>9</v>
      </c>
      <c r="O179" s="10" t="s">
        <v>21</v>
      </c>
      <c r="P179" s="10">
        <v>8</v>
      </c>
      <c r="Q179" s="10" t="s">
        <v>59</v>
      </c>
      <c r="R179" s="10" t="s">
        <v>386</v>
      </c>
      <c r="S179" s="10">
        <v>10</v>
      </c>
      <c r="T179" s="10" t="s">
        <v>34</v>
      </c>
      <c r="U179" s="10" t="s">
        <v>26</v>
      </c>
      <c r="V179" s="10">
        <v>9</v>
      </c>
      <c r="W179" s="10" t="s">
        <v>298</v>
      </c>
    </row>
    <row r="180" spans="1:23" ht="18.95" customHeight="1">
      <c r="A180" s="7">
        <v>179</v>
      </c>
      <c r="B180" s="12">
        <v>1994</v>
      </c>
      <c r="C180" s="20" t="s">
        <v>351</v>
      </c>
      <c r="D180" s="13" t="s">
        <v>14</v>
      </c>
      <c r="E180" s="13" t="s">
        <v>15</v>
      </c>
      <c r="F180" s="13" t="s">
        <v>57</v>
      </c>
      <c r="G180" s="13" t="s">
        <v>17</v>
      </c>
      <c r="H180" s="13" t="s">
        <v>18</v>
      </c>
      <c r="I180" s="13" t="s">
        <v>170</v>
      </c>
      <c r="J180" s="13">
        <v>7</v>
      </c>
      <c r="K180" s="13" t="s">
        <v>20</v>
      </c>
      <c r="L180" s="13">
        <v>10</v>
      </c>
      <c r="M180" s="13">
        <v>5</v>
      </c>
      <c r="N180" s="13">
        <v>7</v>
      </c>
      <c r="O180" s="13" t="s">
        <v>21</v>
      </c>
      <c r="P180" s="13">
        <v>10</v>
      </c>
      <c r="Q180" s="13" t="s">
        <v>285</v>
      </c>
      <c r="R180" s="13" t="s">
        <v>45</v>
      </c>
      <c r="S180" s="13">
        <v>10</v>
      </c>
      <c r="T180" s="13" t="s">
        <v>53</v>
      </c>
      <c r="U180" s="13" t="s">
        <v>97</v>
      </c>
      <c r="V180" s="13">
        <v>8</v>
      </c>
      <c r="W180" s="13" t="s">
        <v>334</v>
      </c>
    </row>
    <row r="181" spans="1:23" ht="18.95" customHeight="1">
      <c r="A181" s="7">
        <v>180</v>
      </c>
      <c r="B181" s="8">
        <v>1994</v>
      </c>
      <c r="C181" s="20" t="s">
        <v>351</v>
      </c>
      <c r="D181" s="10" t="s">
        <v>86</v>
      </c>
      <c r="E181" s="10" t="s">
        <v>87</v>
      </c>
      <c r="F181" s="10" t="s">
        <v>57</v>
      </c>
      <c r="G181" s="10" t="s">
        <v>17</v>
      </c>
      <c r="H181" s="10" t="s">
        <v>18</v>
      </c>
      <c r="I181" s="10" t="s">
        <v>108</v>
      </c>
      <c r="J181" s="10">
        <v>6</v>
      </c>
      <c r="K181" s="10" t="s">
        <v>85</v>
      </c>
      <c r="L181" s="10">
        <v>6</v>
      </c>
      <c r="M181" s="10">
        <v>10</v>
      </c>
      <c r="N181" s="10">
        <v>10</v>
      </c>
      <c r="O181" s="10" t="s">
        <v>94</v>
      </c>
      <c r="P181" s="10">
        <v>5</v>
      </c>
      <c r="Q181" s="10" t="s">
        <v>37</v>
      </c>
      <c r="R181" s="10" t="s">
        <v>45</v>
      </c>
      <c r="S181" s="10">
        <v>10</v>
      </c>
      <c r="T181" s="10" t="s">
        <v>34</v>
      </c>
      <c r="U181" s="10" t="s">
        <v>140</v>
      </c>
      <c r="V181" s="10">
        <v>10</v>
      </c>
      <c r="W181" s="10" t="s">
        <v>387</v>
      </c>
    </row>
    <row r="182" spans="1:23" ht="18.95" customHeight="1">
      <c r="A182" s="7">
        <v>181</v>
      </c>
      <c r="B182" s="12">
        <v>1994</v>
      </c>
      <c r="C182" s="20" t="s">
        <v>351</v>
      </c>
      <c r="D182" s="13" t="s">
        <v>141</v>
      </c>
      <c r="E182" s="13" t="s">
        <v>87</v>
      </c>
      <c r="F182" s="13" t="s">
        <v>57</v>
      </c>
      <c r="G182" s="13" t="s">
        <v>17</v>
      </c>
      <c r="H182" s="13" t="s">
        <v>18</v>
      </c>
      <c r="I182" s="13" t="s">
        <v>49</v>
      </c>
      <c r="J182" s="13">
        <v>10</v>
      </c>
      <c r="K182" s="13" t="s">
        <v>20</v>
      </c>
      <c r="L182" s="13">
        <v>9</v>
      </c>
      <c r="M182" s="13">
        <v>9</v>
      </c>
      <c r="N182" s="13">
        <v>9</v>
      </c>
      <c r="O182" s="13" t="s">
        <v>94</v>
      </c>
      <c r="P182" s="13">
        <v>10</v>
      </c>
      <c r="Q182" s="13" t="s">
        <v>22</v>
      </c>
      <c r="R182" s="13" t="s">
        <v>33</v>
      </c>
      <c r="S182" s="13">
        <v>10</v>
      </c>
      <c r="T182" s="13" t="s">
        <v>67</v>
      </c>
      <c r="U182" s="13" t="s">
        <v>140</v>
      </c>
      <c r="V182" s="13">
        <v>9</v>
      </c>
      <c r="W182" s="13" t="s">
        <v>329</v>
      </c>
    </row>
    <row r="183" spans="1:23" ht="18.95" customHeight="1">
      <c r="A183" s="7">
        <v>182</v>
      </c>
      <c r="B183" s="8">
        <v>1994</v>
      </c>
      <c r="C183" s="20" t="s">
        <v>351</v>
      </c>
      <c r="D183" s="10" t="s">
        <v>86</v>
      </c>
      <c r="E183" s="10" t="s">
        <v>87</v>
      </c>
      <c r="F183" s="10" t="s">
        <v>57</v>
      </c>
      <c r="G183" s="10" t="s">
        <v>17</v>
      </c>
      <c r="H183" s="10" t="s">
        <v>18</v>
      </c>
      <c r="I183" s="10" t="s">
        <v>170</v>
      </c>
      <c r="J183" s="10">
        <v>9</v>
      </c>
      <c r="K183" s="10" t="s">
        <v>20</v>
      </c>
      <c r="L183" s="10">
        <v>6</v>
      </c>
      <c r="M183" s="10">
        <v>7</v>
      </c>
      <c r="N183" s="10">
        <v>5</v>
      </c>
      <c r="O183" s="10" t="s">
        <v>21</v>
      </c>
      <c r="P183" s="10">
        <v>9</v>
      </c>
      <c r="Q183" s="10" t="s">
        <v>37</v>
      </c>
      <c r="R183" s="10" t="s">
        <v>45</v>
      </c>
      <c r="S183" s="10">
        <v>8</v>
      </c>
      <c r="T183" s="10" t="s">
        <v>25</v>
      </c>
      <c r="U183" s="10" t="s">
        <v>97</v>
      </c>
      <c r="V183" s="10">
        <v>8</v>
      </c>
      <c r="W183" s="10" t="s">
        <v>388</v>
      </c>
    </row>
    <row r="184" spans="1:23" ht="18.95" customHeight="1">
      <c r="A184" s="7">
        <v>183</v>
      </c>
      <c r="B184" s="12">
        <v>1994</v>
      </c>
      <c r="C184" s="20" t="s">
        <v>351</v>
      </c>
      <c r="D184" s="13" t="s">
        <v>141</v>
      </c>
      <c r="E184" s="13" t="s">
        <v>87</v>
      </c>
      <c r="F184" s="13" t="s">
        <v>57</v>
      </c>
      <c r="G184" s="13" t="s">
        <v>17</v>
      </c>
      <c r="H184" s="13" t="s">
        <v>18</v>
      </c>
      <c r="I184" s="13" t="s">
        <v>49</v>
      </c>
      <c r="J184" s="13">
        <v>5</v>
      </c>
      <c r="K184" s="13" t="s">
        <v>20</v>
      </c>
      <c r="L184" s="13">
        <v>7</v>
      </c>
      <c r="M184" s="13">
        <v>7</v>
      </c>
      <c r="N184" s="13">
        <v>8</v>
      </c>
      <c r="O184" s="13" t="s">
        <v>21</v>
      </c>
      <c r="P184" s="13">
        <v>10</v>
      </c>
      <c r="Q184" s="13" t="s">
        <v>285</v>
      </c>
      <c r="R184" s="13" t="s">
        <v>45</v>
      </c>
      <c r="S184" s="13">
        <v>10</v>
      </c>
      <c r="T184" s="13" t="s">
        <v>53</v>
      </c>
      <c r="U184" s="13" t="s">
        <v>80</v>
      </c>
      <c r="V184" s="13">
        <v>5</v>
      </c>
      <c r="W184" s="13" t="s">
        <v>357</v>
      </c>
    </row>
    <row r="185" spans="1:23" ht="18.95" customHeight="1">
      <c r="A185" s="7">
        <v>184</v>
      </c>
      <c r="B185" s="8">
        <v>1994</v>
      </c>
      <c r="C185" s="20" t="s">
        <v>351</v>
      </c>
      <c r="D185" s="10" t="s">
        <v>203</v>
      </c>
      <c r="E185" s="10" t="s">
        <v>75</v>
      </c>
      <c r="F185" s="10" t="s">
        <v>57</v>
      </c>
      <c r="G185" s="10" t="s">
        <v>47</v>
      </c>
      <c r="H185" s="10" t="s">
        <v>18</v>
      </c>
      <c r="I185" s="10" t="s">
        <v>76</v>
      </c>
      <c r="J185" s="10">
        <v>8</v>
      </c>
      <c r="K185" s="10" t="s">
        <v>20</v>
      </c>
      <c r="L185" s="10">
        <v>8</v>
      </c>
      <c r="M185" s="10">
        <v>10</v>
      </c>
      <c r="N185" s="10">
        <v>9</v>
      </c>
      <c r="O185" s="10" t="s">
        <v>21</v>
      </c>
      <c r="P185" s="10">
        <v>5</v>
      </c>
      <c r="Q185" s="10" t="s">
        <v>22</v>
      </c>
      <c r="R185" s="10" t="s">
        <v>38</v>
      </c>
      <c r="S185" s="10">
        <v>7</v>
      </c>
      <c r="T185" s="10" t="s">
        <v>34</v>
      </c>
      <c r="U185" s="10" t="s">
        <v>80</v>
      </c>
      <c r="V185" s="10">
        <v>8</v>
      </c>
      <c r="W185" s="10" t="s">
        <v>387</v>
      </c>
    </row>
    <row r="186" spans="1:23" ht="18.95" customHeight="1">
      <c r="A186" s="7">
        <v>185</v>
      </c>
      <c r="B186" s="12">
        <v>1994</v>
      </c>
      <c r="C186" s="20" t="s">
        <v>351</v>
      </c>
      <c r="D186" s="13" t="s">
        <v>102</v>
      </c>
      <c r="E186" s="13" t="s">
        <v>36</v>
      </c>
      <c r="F186" s="13" t="s">
        <v>57</v>
      </c>
      <c r="G186" s="13" t="s">
        <v>17</v>
      </c>
      <c r="H186" s="13" t="s">
        <v>18</v>
      </c>
      <c r="I186" s="13" t="s">
        <v>49</v>
      </c>
      <c r="J186" s="13">
        <v>9</v>
      </c>
      <c r="K186" s="13" t="s">
        <v>20</v>
      </c>
      <c r="L186" s="13">
        <v>10</v>
      </c>
      <c r="M186" s="13">
        <v>9</v>
      </c>
      <c r="N186" s="13">
        <v>9</v>
      </c>
      <c r="O186" s="13" t="s">
        <v>21</v>
      </c>
      <c r="P186" s="13">
        <v>10</v>
      </c>
      <c r="Q186" s="13" t="s">
        <v>37</v>
      </c>
      <c r="R186" s="13" t="s">
        <v>112</v>
      </c>
      <c r="S186" s="13">
        <v>9</v>
      </c>
      <c r="T186" s="13" t="s">
        <v>34</v>
      </c>
      <c r="U186" s="13" t="s">
        <v>140</v>
      </c>
      <c r="V186" s="13">
        <v>6</v>
      </c>
      <c r="W186" s="13" t="s">
        <v>355</v>
      </c>
    </row>
    <row r="187" spans="1:23" ht="18.95" customHeight="1">
      <c r="A187" s="7">
        <v>186</v>
      </c>
      <c r="B187" s="8">
        <v>1994</v>
      </c>
      <c r="C187" s="20" t="s">
        <v>351</v>
      </c>
      <c r="D187" s="10" t="s">
        <v>102</v>
      </c>
      <c r="E187" s="10" t="s">
        <v>36</v>
      </c>
      <c r="F187" s="10" t="s">
        <v>57</v>
      </c>
      <c r="G187" s="10" t="s">
        <v>17</v>
      </c>
      <c r="H187" s="10" t="s">
        <v>18</v>
      </c>
      <c r="I187" s="10" t="s">
        <v>19</v>
      </c>
      <c r="J187" s="10">
        <v>6</v>
      </c>
      <c r="K187" s="10" t="s">
        <v>85</v>
      </c>
      <c r="L187" s="10">
        <v>10</v>
      </c>
      <c r="M187" s="10">
        <v>1</v>
      </c>
      <c r="N187" s="10">
        <v>10</v>
      </c>
      <c r="O187" s="10" t="s">
        <v>21</v>
      </c>
      <c r="P187" s="10">
        <v>10</v>
      </c>
      <c r="Q187" s="10" t="s">
        <v>22</v>
      </c>
      <c r="R187" s="10" t="s">
        <v>224</v>
      </c>
      <c r="S187" s="10">
        <v>10</v>
      </c>
      <c r="T187" s="10" t="s">
        <v>34</v>
      </c>
      <c r="U187" s="10" t="s">
        <v>54</v>
      </c>
      <c r="V187" s="10">
        <v>10</v>
      </c>
      <c r="W187" s="10" t="s">
        <v>186</v>
      </c>
    </row>
    <row r="188" spans="1:23" ht="18.95" customHeight="1">
      <c r="A188" s="7">
        <v>187</v>
      </c>
      <c r="B188" s="12">
        <v>1994</v>
      </c>
      <c r="C188" s="20" t="s">
        <v>351</v>
      </c>
      <c r="D188" s="13" t="s">
        <v>119</v>
      </c>
      <c r="E188" s="13" t="s">
        <v>75</v>
      </c>
      <c r="F188" s="13" t="s">
        <v>57</v>
      </c>
      <c r="G188" s="13" t="s">
        <v>17</v>
      </c>
      <c r="H188" s="13" t="s">
        <v>18</v>
      </c>
      <c r="I188" s="13" t="s">
        <v>84</v>
      </c>
      <c r="J188" s="13">
        <v>10</v>
      </c>
      <c r="K188" s="13" t="s">
        <v>20</v>
      </c>
      <c r="L188" s="13">
        <v>10</v>
      </c>
      <c r="M188" s="13">
        <v>10</v>
      </c>
      <c r="N188" s="13">
        <v>10</v>
      </c>
      <c r="O188" s="13" t="s">
        <v>21</v>
      </c>
      <c r="P188" s="13">
        <v>10</v>
      </c>
      <c r="Q188" s="13" t="s">
        <v>44</v>
      </c>
      <c r="R188" s="13" t="s">
        <v>112</v>
      </c>
      <c r="S188" s="13">
        <v>8</v>
      </c>
      <c r="T188" s="13" t="s">
        <v>53</v>
      </c>
      <c r="U188" s="13" t="s">
        <v>80</v>
      </c>
      <c r="V188" s="13">
        <v>8</v>
      </c>
      <c r="W188" s="13" t="s">
        <v>390</v>
      </c>
    </row>
    <row r="189" spans="1:23" ht="18.95" customHeight="1">
      <c r="A189" s="7">
        <v>188</v>
      </c>
      <c r="B189" s="8">
        <v>1994</v>
      </c>
      <c r="C189" s="20" t="s">
        <v>351</v>
      </c>
      <c r="D189" s="10" t="s">
        <v>147</v>
      </c>
      <c r="E189" s="10" t="s">
        <v>36</v>
      </c>
      <c r="F189" s="10" t="s">
        <v>16</v>
      </c>
      <c r="G189" s="10" t="s">
        <v>103</v>
      </c>
      <c r="H189" s="10" t="s">
        <v>18</v>
      </c>
      <c r="I189" s="10" t="s">
        <v>81</v>
      </c>
      <c r="J189" s="10">
        <v>8</v>
      </c>
      <c r="K189" s="10" t="s">
        <v>20</v>
      </c>
      <c r="L189" s="10">
        <v>10</v>
      </c>
      <c r="M189" s="10">
        <v>5</v>
      </c>
      <c r="N189" s="10">
        <v>8</v>
      </c>
      <c r="O189" s="10" t="s">
        <v>94</v>
      </c>
      <c r="P189" s="10">
        <v>8</v>
      </c>
      <c r="Q189" s="10" t="s">
        <v>22</v>
      </c>
      <c r="R189" s="10" t="s">
        <v>33</v>
      </c>
      <c r="S189" s="10">
        <v>8</v>
      </c>
      <c r="T189" s="10" t="s">
        <v>34</v>
      </c>
      <c r="U189" s="10" t="s">
        <v>80</v>
      </c>
      <c r="V189" s="10">
        <v>7</v>
      </c>
      <c r="W189" s="10" t="s">
        <v>349</v>
      </c>
    </row>
    <row r="190" spans="1:23" ht="18.95" customHeight="1">
      <c r="A190" s="7">
        <v>189</v>
      </c>
      <c r="B190" s="12">
        <v>1994</v>
      </c>
      <c r="C190" s="20" t="s">
        <v>351</v>
      </c>
      <c r="D190" s="13" t="s">
        <v>30</v>
      </c>
      <c r="E190" s="13" t="s">
        <v>15</v>
      </c>
      <c r="F190" s="13" t="s">
        <v>57</v>
      </c>
      <c r="G190" s="13" t="s">
        <v>17</v>
      </c>
      <c r="H190" s="13" t="s">
        <v>18</v>
      </c>
      <c r="I190" s="13" t="s">
        <v>376</v>
      </c>
      <c r="J190" s="13">
        <v>8</v>
      </c>
      <c r="K190" s="13" t="s">
        <v>93</v>
      </c>
      <c r="L190" s="13">
        <v>9</v>
      </c>
      <c r="M190" s="13">
        <v>10</v>
      </c>
      <c r="N190" s="13">
        <v>9</v>
      </c>
      <c r="O190" s="13" t="s">
        <v>94</v>
      </c>
      <c r="P190" s="13">
        <v>8</v>
      </c>
      <c r="Q190" s="13" t="s">
        <v>37</v>
      </c>
      <c r="R190" s="13" t="s">
        <v>23</v>
      </c>
      <c r="S190" s="13">
        <v>4</v>
      </c>
      <c r="T190" s="13" t="s">
        <v>34</v>
      </c>
      <c r="U190" s="13" t="s">
        <v>80</v>
      </c>
      <c r="V190" s="13">
        <v>7</v>
      </c>
      <c r="W190" s="13" t="s">
        <v>301</v>
      </c>
    </row>
    <row r="191" spans="1:23" ht="18.95" customHeight="1">
      <c r="A191" s="7">
        <v>190</v>
      </c>
      <c r="B191" s="8">
        <v>1994</v>
      </c>
      <c r="C191" s="20" t="s">
        <v>351</v>
      </c>
      <c r="D191" s="10" t="s">
        <v>102</v>
      </c>
      <c r="E191" s="10" t="s">
        <v>36</v>
      </c>
      <c r="F191" s="10" t="s">
        <v>57</v>
      </c>
      <c r="G191" s="10" t="s">
        <v>17</v>
      </c>
      <c r="H191" s="10" t="s">
        <v>18</v>
      </c>
      <c r="I191" s="10" t="s">
        <v>170</v>
      </c>
      <c r="J191" s="10">
        <v>8</v>
      </c>
      <c r="K191" s="10" t="s">
        <v>93</v>
      </c>
      <c r="L191" s="10">
        <v>8</v>
      </c>
      <c r="M191" s="10">
        <v>8</v>
      </c>
      <c r="N191" s="10">
        <v>8</v>
      </c>
      <c r="O191" s="10" t="s">
        <v>21</v>
      </c>
      <c r="P191" s="10">
        <v>8</v>
      </c>
      <c r="Q191" s="10" t="s">
        <v>59</v>
      </c>
      <c r="R191" s="10" t="s">
        <v>33</v>
      </c>
      <c r="S191" s="10">
        <v>7</v>
      </c>
      <c r="T191" s="10" t="s">
        <v>25</v>
      </c>
      <c r="U191" s="10" t="s">
        <v>140</v>
      </c>
      <c r="V191" s="10">
        <v>8</v>
      </c>
      <c r="W191" s="10" t="s">
        <v>342</v>
      </c>
    </row>
    <row r="192" spans="1:23" ht="18.95" customHeight="1">
      <c r="A192" s="7">
        <v>191</v>
      </c>
      <c r="B192" s="12">
        <v>1994</v>
      </c>
      <c r="C192" s="20" t="s">
        <v>351</v>
      </c>
      <c r="D192" s="13" t="s">
        <v>203</v>
      </c>
      <c r="E192" s="13" t="s">
        <v>75</v>
      </c>
      <c r="F192" s="13" t="s">
        <v>16</v>
      </c>
      <c r="G192" s="13" t="s">
        <v>17</v>
      </c>
      <c r="H192" s="13" t="s">
        <v>18</v>
      </c>
      <c r="I192" s="13" t="s">
        <v>81</v>
      </c>
      <c r="J192" s="13">
        <v>9</v>
      </c>
      <c r="K192" s="13" t="s">
        <v>93</v>
      </c>
      <c r="L192" s="13">
        <v>10</v>
      </c>
      <c r="M192" s="13">
        <v>10</v>
      </c>
      <c r="N192" s="13">
        <v>8</v>
      </c>
      <c r="O192" s="13" t="s">
        <v>43</v>
      </c>
      <c r="P192" s="13">
        <v>9</v>
      </c>
      <c r="Q192" s="13" t="s">
        <v>22</v>
      </c>
      <c r="R192" s="13" t="s">
        <v>38</v>
      </c>
      <c r="S192" s="13">
        <v>10</v>
      </c>
      <c r="T192" s="13" t="s">
        <v>34</v>
      </c>
      <c r="U192" s="13" t="s">
        <v>26</v>
      </c>
      <c r="V192" s="13">
        <v>10</v>
      </c>
      <c r="W192" s="13" t="s">
        <v>186</v>
      </c>
    </row>
    <row r="193" spans="1:23" ht="18.95" customHeight="1">
      <c r="A193" s="7">
        <v>192</v>
      </c>
      <c r="B193" s="8">
        <v>1994</v>
      </c>
      <c r="C193" s="20" t="s">
        <v>351</v>
      </c>
      <c r="D193" s="10" t="s">
        <v>203</v>
      </c>
      <c r="E193" s="10" t="s">
        <v>75</v>
      </c>
      <c r="F193" s="10" t="s">
        <v>57</v>
      </c>
      <c r="G193" s="10" t="s">
        <v>103</v>
      </c>
      <c r="H193" s="10" t="s">
        <v>18</v>
      </c>
      <c r="I193" s="10" t="s">
        <v>170</v>
      </c>
      <c r="J193" s="10">
        <v>7</v>
      </c>
      <c r="K193" s="10" t="s">
        <v>85</v>
      </c>
      <c r="L193" s="10">
        <v>5</v>
      </c>
      <c r="M193" s="10">
        <v>10</v>
      </c>
      <c r="N193" s="10">
        <v>7</v>
      </c>
      <c r="O193" s="10" t="s">
        <v>94</v>
      </c>
      <c r="P193" s="10">
        <v>8</v>
      </c>
      <c r="Q193" s="10" t="s">
        <v>22</v>
      </c>
      <c r="R193" s="10" t="s">
        <v>33</v>
      </c>
      <c r="S193" s="10">
        <v>10</v>
      </c>
      <c r="T193" s="10" t="s">
        <v>34</v>
      </c>
      <c r="U193" s="10" t="s">
        <v>97</v>
      </c>
      <c r="V193" s="10">
        <v>8</v>
      </c>
      <c r="W193" s="10" t="s">
        <v>292</v>
      </c>
    </row>
    <row r="194" spans="1:23" ht="18.95" customHeight="1">
      <c r="A194" s="7">
        <v>193</v>
      </c>
      <c r="B194" s="12">
        <v>1995</v>
      </c>
      <c r="C194" s="20" t="s">
        <v>351</v>
      </c>
      <c r="D194" s="13" t="s">
        <v>89</v>
      </c>
      <c r="E194" s="13" t="s">
        <v>90</v>
      </c>
      <c r="F194" s="13" t="s">
        <v>57</v>
      </c>
      <c r="G194" s="13" t="s">
        <v>17</v>
      </c>
      <c r="H194" s="13" t="s">
        <v>48</v>
      </c>
      <c r="I194" s="13" t="s">
        <v>347</v>
      </c>
      <c r="J194" s="13">
        <v>8</v>
      </c>
      <c r="K194" s="13" t="s">
        <v>20</v>
      </c>
      <c r="L194" s="13">
        <v>9</v>
      </c>
      <c r="M194" s="13">
        <v>9</v>
      </c>
      <c r="N194" s="13">
        <v>8</v>
      </c>
      <c r="O194" s="13" t="s">
        <v>21</v>
      </c>
      <c r="P194" s="13">
        <v>6</v>
      </c>
      <c r="Q194" s="13" t="s">
        <v>22</v>
      </c>
      <c r="R194" s="13" t="s">
        <v>45</v>
      </c>
      <c r="S194" s="13">
        <v>10</v>
      </c>
      <c r="T194" s="13" t="s">
        <v>251</v>
      </c>
      <c r="U194" s="13" t="s">
        <v>26</v>
      </c>
      <c r="V194" s="13">
        <v>10</v>
      </c>
      <c r="W194" s="14" t="s">
        <v>392</v>
      </c>
    </row>
    <row r="195" spans="1:23" ht="18.95" customHeight="1">
      <c r="A195" s="7">
        <v>194</v>
      </c>
      <c r="B195" s="8">
        <v>1995</v>
      </c>
      <c r="C195" s="20" t="s">
        <v>351</v>
      </c>
      <c r="D195" s="10" t="s">
        <v>215</v>
      </c>
      <c r="E195" s="10" t="s">
        <v>28</v>
      </c>
      <c r="F195" s="10" t="s">
        <v>57</v>
      </c>
      <c r="G195" s="10" t="s">
        <v>103</v>
      </c>
      <c r="H195" s="10" t="s">
        <v>48</v>
      </c>
      <c r="I195" s="10" t="s">
        <v>162</v>
      </c>
      <c r="J195" s="10">
        <v>4</v>
      </c>
      <c r="K195" s="10" t="s">
        <v>93</v>
      </c>
      <c r="L195" s="10">
        <v>5</v>
      </c>
      <c r="M195" s="10">
        <v>10</v>
      </c>
      <c r="N195" s="10">
        <v>7</v>
      </c>
      <c r="O195" s="10" t="s">
        <v>43</v>
      </c>
      <c r="P195" s="10">
        <v>9</v>
      </c>
      <c r="Q195" s="10" t="s">
        <v>285</v>
      </c>
      <c r="R195" s="10" t="s">
        <v>33</v>
      </c>
      <c r="S195" s="10">
        <v>8</v>
      </c>
      <c r="T195" s="10" t="s">
        <v>302</v>
      </c>
      <c r="U195" s="10" t="s">
        <v>140</v>
      </c>
      <c r="V195" s="10">
        <v>8</v>
      </c>
      <c r="W195" s="11" t="s">
        <v>337</v>
      </c>
    </row>
    <row r="196" spans="1:23" ht="18.95" customHeight="1">
      <c r="A196" s="7">
        <v>195</v>
      </c>
      <c r="B196" s="12">
        <v>1995</v>
      </c>
      <c r="C196" s="20" t="s">
        <v>351</v>
      </c>
      <c r="D196" s="13" t="s">
        <v>195</v>
      </c>
      <c r="E196" s="13" t="s">
        <v>56</v>
      </c>
      <c r="F196" s="13" t="s">
        <v>57</v>
      </c>
      <c r="G196" s="13" t="s">
        <v>103</v>
      </c>
      <c r="H196" s="13" t="s">
        <v>18</v>
      </c>
      <c r="I196" s="13" t="s">
        <v>84</v>
      </c>
      <c r="J196" s="13">
        <v>8</v>
      </c>
      <c r="K196" s="13" t="s">
        <v>20</v>
      </c>
      <c r="L196" s="13">
        <v>5</v>
      </c>
      <c r="M196" s="13">
        <v>10</v>
      </c>
      <c r="N196" s="13">
        <v>7</v>
      </c>
      <c r="O196" s="13" t="s">
        <v>21</v>
      </c>
      <c r="P196" s="13">
        <v>8</v>
      </c>
      <c r="Q196" s="13" t="s">
        <v>125</v>
      </c>
      <c r="R196" s="13" t="s">
        <v>224</v>
      </c>
      <c r="S196" s="13">
        <v>10</v>
      </c>
      <c r="T196" s="13" t="s">
        <v>34</v>
      </c>
      <c r="U196" s="13" t="s">
        <v>80</v>
      </c>
      <c r="V196" s="13">
        <v>6</v>
      </c>
      <c r="W196" s="14" t="s">
        <v>186</v>
      </c>
    </row>
    <row r="197" spans="1:23" ht="18.95" customHeight="1">
      <c r="A197" s="7">
        <v>196</v>
      </c>
      <c r="B197" s="8">
        <v>1995</v>
      </c>
      <c r="C197" s="20" t="s">
        <v>351</v>
      </c>
      <c r="D197" s="10" t="s">
        <v>119</v>
      </c>
      <c r="E197" s="10" t="s">
        <v>75</v>
      </c>
      <c r="F197" s="10" t="s">
        <v>16</v>
      </c>
      <c r="G197" s="10" t="s">
        <v>17</v>
      </c>
      <c r="H197" s="10" t="s">
        <v>18</v>
      </c>
      <c r="I197" s="10" t="s">
        <v>162</v>
      </c>
      <c r="J197" s="10">
        <v>6</v>
      </c>
      <c r="K197" s="10" t="s">
        <v>93</v>
      </c>
      <c r="L197" s="10">
        <v>9</v>
      </c>
      <c r="M197" s="10">
        <v>9</v>
      </c>
      <c r="N197" s="10">
        <v>8</v>
      </c>
      <c r="O197" s="10" t="s">
        <v>21</v>
      </c>
      <c r="P197" s="10">
        <v>9</v>
      </c>
      <c r="Q197" s="10" t="s">
        <v>22</v>
      </c>
      <c r="R197" s="10" t="s">
        <v>33</v>
      </c>
      <c r="S197" s="10">
        <v>5</v>
      </c>
      <c r="T197" s="10" t="s">
        <v>34</v>
      </c>
      <c r="U197" s="10" t="s">
        <v>26</v>
      </c>
      <c r="V197" s="10">
        <v>9</v>
      </c>
      <c r="W197" s="11" t="s">
        <v>344</v>
      </c>
    </row>
    <row r="198" spans="1:23" ht="18.95" customHeight="1">
      <c r="A198" s="7">
        <v>197</v>
      </c>
      <c r="B198" s="12">
        <v>1995</v>
      </c>
      <c r="C198" s="20" t="s">
        <v>351</v>
      </c>
      <c r="D198" s="13" t="s">
        <v>297</v>
      </c>
      <c r="E198" s="13" t="s">
        <v>42</v>
      </c>
      <c r="F198" s="13" t="s">
        <v>16</v>
      </c>
      <c r="G198" s="13" t="s">
        <v>17</v>
      </c>
      <c r="H198" s="13" t="s">
        <v>18</v>
      </c>
      <c r="I198" s="13" t="s">
        <v>19</v>
      </c>
      <c r="J198" s="13">
        <v>8</v>
      </c>
      <c r="K198" s="13" t="s">
        <v>85</v>
      </c>
      <c r="L198" s="13">
        <v>9</v>
      </c>
      <c r="M198" s="13">
        <v>10</v>
      </c>
      <c r="N198" s="13">
        <v>9</v>
      </c>
      <c r="O198" s="13" t="s">
        <v>94</v>
      </c>
      <c r="P198" s="13">
        <v>8</v>
      </c>
      <c r="Q198" s="13" t="s">
        <v>285</v>
      </c>
      <c r="R198" s="13" t="s">
        <v>224</v>
      </c>
      <c r="S198" s="13">
        <v>8</v>
      </c>
      <c r="T198" s="13" t="s">
        <v>34</v>
      </c>
      <c r="U198" s="13" t="s">
        <v>68</v>
      </c>
      <c r="V198" s="13">
        <v>7</v>
      </c>
      <c r="W198" s="14" t="s">
        <v>292</v>
      </c>
    </row>
    <row r="199" spans="1:23" ht="18.95" customHeight="1">
      <c r="A199" s="7">
        <v>198</v>
      </c>
      <c r="B199" s="8">
        <v>1995</v>
      </c>
      <c r="C199" s="20" t="s">
        <v>351</v>
      </c>
      <c r="D199" s="10" t="s">
        <v>137</v>
      </c>
      <c r="E199" s="10" t="s">
        <v>42</v>
      </c>
      <c r="F199" s="10" t="s">
        <v>57</v>
      </c>
      <c r="G199" s="10" t="s">
        <v>17</v>
      </c>
      <c r="H199" s="10" t="s">
        <v>18</v>
      </c>
      <c r="I199" s="10" t="s">
        <v>19</v>
      </c>
      <c r="J199" s="10">
        <v>10</v>
      </c>
      <c r="K199" s="10" t="s">
        <v>93</v>
      </c>
      <c r="L199" s="10">
        <v>9</v>
      </c>
      <c r="M199" s="10">
        <v>9</v>
      </c>
      <c r="N199" s="10">
        <v>1</v>
      </c>
      <c r="O199" s="10" t="s">
        <v>94</v>
      </c>
      <c r="P199" s="10">
        <v>10</v>
      </c>
      <c r="Q199" s="10" t="s">
        <v>22</v>
      </c>
      <c r="R199" s="10" t="s">
        <v>45</v>
      </c>
      <c r="S199" s="10">
        <v>8</v>
      </c>
      <c r="T199" s="10" t="s">
        <v>34</v>
      </c>
      <c r="U199" s="10" t="s">
        <v>97</v>
      </c>
      <c r="V199" s="10">
        <v>9</v>
      </c>
      <c r="W199" s="11" t="s">
        <v>355</v>
      </c>
    </row>
    <row r="200" spans="1:23" ht="18.95" customHeight="1">
      <c r="A200" s="7">
        <v>199</v>
      </c>
      <c r="B200" s="12">
        <v>1995</v>
      </c>
      <c r="C200" s="20" t="s">
        <v>351</v>
      </c>
      <c r="D200" s="13" t="s">
        <v>119</v>
      </c>
      <c r="E200" s="13" t="s">
        <v>75</v>
      </c>
      <c r="F200" s="13" t="s">
        <v>57</v>
      </c>
      <c r="G200" s="13" t="s">
        <v>47</v>
      </c>
      <c r="H200" s="13" t="s">
        <v>18</v>
      </c>
      <c r="I200" s="13" t="s">
        <v>319</v>
      </c>
      <c r="J200" s="13">
        <v>2</v>
      </c>
      <c r="K200" s="13" t="s">
        <v>85</v>
      </c>
      <c r="L200" s="13">
        <v>2</v>
      </c>
      <c r="M200" s="13">
        <v>3</v>
      </c>
      <c r="N200" s="13">
        <v>7</v>
      </c>
      <c r="O200" s="13" t="s">
        <v>21</v>
      </c>
      <c r="P200" s="13">
        <v>2</v>
      </c>
      <c r="Q200" s="13" t="s">
        <v>59</v>
      </c>
      <c r="R200" s="13" t="s">
        <v>393</v>
      </c>
      <c r="S200" s="13">
        <v>10</v>
      </c>
      <c r="T200" s="13" t="s">
        <v>34</v>
      </c>
      <c r="U200" s="13" t="s">
        <v>97</v>
      </c>
      <c r="V200" s="13">
        <v>9</v>
      </c>
      <c r="W200" s="14" t="s">
        <v>187</v>
      </c>
    </row>
    <row r="201" spans="1:23" ht="18.95" customHeight="1">
      <c r="A201" s="7">
        <v>200</v>
      </c>
      <c r="B201" s="8">
        <v>1995</v>
      </c>
      <c r="C201" s="20" t="s">
        <v>351</v>
      </c>
      <c r="D201" s="10" t="s">
        <v>137</v>
      </c>
      <c r="E201" s="10" t="s">
        <v>42</v>
      </c>
      <c r="F201" s="10" t="s">
        <v>57</v>
      </c>
      <c r="G201" s="10" t="s">
        <v>47</v>
      </c>
      <c r="H201" s="10" t="s">
        <v>18</v>
      </c>
      <c r="I201" s="10" t="s">
        <v>170</v>
      </c>
      <c r="J201" s="10">
        <v>8</v>
      </c>
      <c r="K201" s="10" t="s">
        <v>20</v>
      </c>
      <c r="L201" s="10">
        <v>8</v>
      </c>
      <c r="M201" s="10">
        <v>5</v>
      </c>
      <c r="N201" s="10">
        <v>7</v>
      </c>
      <c r="O201" s="10" t="s">
        <v>21</v>
      </c>
      <c r="P201" s="10">
        <v>7</v>
      </c>
      <c r="Q201" s="10" t="s">
        <v>22</v>
      </c>
      <c r="R201" s="10" t="s">
        <v>45</v>
      </c>
      <c r="S201" s="10">
        <v>9</v>
      </c>
      <c r="T201" s="10" t="s">
        <v>25</v>
      </c>
      <c r="U201" s="10" t="s">
        <v>26</v>
      </c>
      <c r="V201" s="10">
        <v>9</v>
      </c>
      <c r="W201" s="11" t="s">
        <v>321</v>
      </c>
    </row>
    <row r="202" spans="1:23" ht="18.95" customHeight="1">
      <c r="A202" s="7">
        <v>201</v>
      </c>
      <c r="B202" s="12">
        <v>1995</v>
      </c>
      <c r="C202" s="20" t="s">
        <v>351</v>
      </c>
      <c r="D202" s="13" t="s">
        <v>119</v>
      </c>
      <c r="E202" s="13" t="s">
        <v>75</v>
      </c>
      <c r="F202" s="13" t="s">
        <v>16</v>
      </c>
      <c r="G202" s="13" t="s">
        <v>17</v>
      </c>
      <c r="H202" s="13" t="s">
        <v>18</v>
      </c>
      <c r="I202" s="13" t="s">
        <v>170</v>
      </c>
      <c r="J202" s="13">
        <v>8</v>
      </c>
      <c r="K202" s="13" t="s">
        <v>85</v>
      </c>
      <c r="L202" s="13">
        <v>7</v>
      </c>
      <c r="M202" s="13">
        <v>8</v>
      </c>
      <c r="N202" s="13">
        <v>6</v>
      </c>
      <c r="O202" s="13" t="s">
        <v>94</v>
      </c>
      <c r="P202" s="13">
        <v>8</v>
      </c>
      <c r="Q202" s="13" t="s">
        <v>22</v>
      </c>
      <c r="R202" s="13" t="s">
        <v>51</v>
      </c>
      <c r="S202" s="13">
        <v>9</v>
      </c>
      <c r="T202" s="13" t="s">
        <v>34</v>
      </c>
      <c r="U202" s="13" t="s">
        <v>140</v>
      </c>
      <c r="V202" s="13">
        <v>8</v>
      </c>
      <c r="W202" s="13" t="s">
        <v>314</v>
      </c>
    </row>
    <row r="203" spans="1:23" ht="18.95" customHeight="1">
      <c r="A203" s="7">
        <v>202</v>
      </c>
      <c r="B203" s="8">
        <v>1995</v>
      </c>
      <c r="C203" s="20" t="s">
        <v>351</v>
      </c>
      <c r="D203" s="10" t="s">
        <v>134</v>
      </c>
      <c r="E203" s="10" t="s">
        <v>87</v>
      </c>
      <c r="F203" s="10" t="s">
        <v>57</v>
      </c>
      <c r="G203" s="10" t="s">
        <v>17</v>
      </c>
      <c r="H203" s="10" t="s">
        <v>18</v>
      </c>
      <c r="I203" s="10" t="s">
        <v>81</v>
      </c>
      <c r="J203" s="10">
        <v>7</v>
      </c>
      <c r="K203" s="10" t="s">
        <v>20</v>
      </c>
      <c r="L203" s="10">
        <v>8</v>
      </c>
      <c r="M203" s="10">
        <v>9</v>
      </c>
      <c r="N203" s="10">
        <v>9</v>
      </c>
      <c r="O203" s="10" t="s">
        <v>21</v>
      </c>
      <c r="P203" s="10">
        <v>9</v>
      </c>
      <c r="Q203" s="10" t="s">
        <v>59</v>
      </c>
      <c r="R203" s="10" t="s">
        <v>394</v>
      </c>
      <c r="S203" s="10">
        <v>10</v>
      </c>
      <c r="T203" s="10" t="s">
        <v>34</v>
      </c>
      <c r="U203" s="10" t="s">
        <v>97</v>
      </c>
      <c r="V203" s="10">
        <v>9</v>
      </c>
      <c r="W203" s="10" t="s">
        <v>395</v>
      </c>
    </row>
    <row r="204" spans="1:23" ht="18.95" customHeight="1">
      <c r="A204" s="7">
        <v>203</v>
      </c>
      <c r="B204" s="12">
        <v>1995</v>
      </c>
      <c r="C204" s="20" t="s">
        <v>351</v>
      </c>
      <c r="D204" s="13" t="s">
        <v>46</v>
      </c>
      <c r="E204" s="13" t="s">
        <v>36</v>
      </c>
      <c r="F204" s="13" t="s">
        <v>57</v>
      </c>
      <c r="G204" s="13" t="s">
        <v>17</v>
      </c>
      <c r="H204" s="13" t="s">
        <v>18</v>
      </c>
      <c r="I204" s="13" t="s">
        <v>19</v>
      </c>
      <c r="J204" s="13">
        <v>8</v>
      </c>
      <c r="K204" s="13" t="s">
        <v>85</v>
      </c>
      <c r="L204" s="13">
        <v>9</v>
      </c>
      <c r="M204" s="13">
        <v>7</v>
      </c>
      <c r="N204" s="13">
        <v>8</v>
      </c>
      <c r="O204" s="13" t="s">
        <v>21</v>
      </c>
      <c r="P204" s="13">
        <v>9</v>
      </c>
      <c r="Q204" s="13" t="s">
        <v>285</v>
      </c>
      <c r="R204" s="13" t="s">
        <v>45</v>
      </c>
      <c r="S204" s="13">
        <v>6</v>
      </c>
      <c r="T204" s="13" t="s">
        <v>34</v>
      </c>
      <c r="U204" s="13" t="s">
        <v>26</v>
      </c>
      <c r="V204" s="13">
        <v>7</v>
      </c>
      <c r="W204" s="13" t="s">
        <v>372</v>
      </c>
    </row>
    <row r="205" spans="1:23" ht="18.95" customHeight="1">
      <c r="A205" s="7">
        <v>204</v>
      </c>
      <c r="B205" s="8">
        <v>1995</v>
      </c>
      <c r="C205" s="20" t="s">
        <v>351</v>
      </c>
      <c r="D205" s="10" t="s">
        <v>166</v>
      </c>
      <c r="E205" s="10" t="s">
        <v>56</v>
      </c>
      <c r="F205" s="10" t="s">
        <v>57</v>
      </c>
      <c r="G205" s="10" t="s">
        <v>17</v>
      </c>
      <c r="H205" s="10" t="s">
        <v>18</v>
      </c>
      <c r="I205" s="10" t="s">
        <v>170</v>
      </c>
      <c r="J205" s="10">
        <v>8</v>
      </c>
      <c r="K205" s="10" t="s">
        <v>20</v>
      </c>
      <c r="L205" s="10">
        <v>9</v>
      </c>
      <c r="M205" s="10">
        <v>8</v>
      </c>
      <c r="N205" s="10">
        <v>5</v>
      </c>
      <c r="O205" s="10" t="s">
        <v>21</v>
      </c>
      <c r="P205" s="10">
        <v>10</v>
      </c>
      <c r="Q205" s="10" t="s">
        <v>37</v>
      </c>
      <c r="R205" s="10" t="s">
        <v>224</v>
      </c>
      <c r="S205" s="10">
        <v>10</v>
      </c>
      <c r="T205" s="10" t="s">
        <v>153</v>
      </c>
      <c r="U205" s="10" t="s">
        <v>97</v>
      </c>
      <c r="V205" s="10">
        <v>9</v>
      </c>
      <c r="W205" s="10" t="s">
        <v>357</v>
      </c>
    </row>
    <row r="206" spans="1:23" ht="18.95" customHeight="1">
      <c r="A206" s="7">
        <v>205</v>
      </c>
      <c r="B206" s="12">
        <v>1995</v>
      </c>
      <c r="C206" s="20" t="s">
        <v>351</v>
      </c>
      <c r="D206" s="13" t="s">
        <v>168</v>
      </c>
      <c r="E206" s="13" t="s">
        <v>15</v>
      </c>
      <c r="F206" s="13" t="s">
        <v>57</v>
      </c>
      <c r="G206" s="13" t="s">
        <v>103</v>
      </c>
      <c r="H206" s="13" t="s">
        <v>18</v>
      </c>
      <c r="I206" s="13" t="s">
        <v>81</v>
      </c>
      <c r="J206" s="13">
        <v>10</v>
      </c>
      <c r="K206" s="13" t="s">
        <v>50</v>
      </c>
      <c r="L206" s="13">
        <v>3</v>
      </c>
      <c r="M206" s="13">
        <v>6</v>
      </c>
      <c r="N206" s="13">
        <v>3</v>
      </c>
      <c r="O206" s="13" t="s">
        <v>94</v>
      </c>
      <c r="P206" s="13">
        <v>10</v>
      </c>
      <c r="Q206" s="13" t="s">
        <v>44</v>
      </c>
      <c r="R206" s="13" t="s">
        <v>45</v>
      </c>
      <c r="S206" s="13">
        <v>1</v>
      </c>
      <c r="T206" s="13" t="s">
        <v>34</v>
      </c>
      <c r="U206" s="13" t="s">
        <v>80</v>
      </c>
      <c r="V206" s="13">
        <v>8</v>
      </c>
      <c r="W206" s="13" t="s">
        <v>372</v>
      </c>
    </row>
    <row r="207" spans="1:23" ht="18.95" customHeight="1">
      <c r="A207" s="7">
        <v>206</v>
      </c>
      <c r="B207" s="8">
        <v>1995</v>
      </c>
      <c r="C207" s="20" t="s">
        <v>351</v>
      </c>
      <c r="D207" s="10" t="s">
        <v>41</v>
      </c>
      <c r="E207" s="10" t="s">
        <v>42</v>
      </c>
      <c r="F207" s="10" t="s">
        <v>57</v>
      </c>
      <c r="G207" s="10" t="s">
        <v>17</v>
      </c>
      <c r="H207" s="10" t="s">
        <v>18</v>
      </c>
      <c r="I207" s="10" t="s">
        <v>170</v>
      </c>
      <c r="J207" s="10">
        <v>3</v>
      </c>
      <c r="K207" s="10" t="s">
        <v>93</v>
      </c>
      <c r="L207" s="10">
        <v>9</v>
      </c>
      <c r="M207" s="10">
        <v>7</v>
      </c>
      <c r="N207" s="10">
        <v>9</v>
      </c>
      <c r="O207" s="10" t="s">
        <v>21</v>
      </c>
      <c r="P207" s="10">
        <v>7</v>
      </c>
      <c r="Q207" s="10" t="s">
        <v>59</v>
      </c>
      <c r="R207" s="10" t="s">
        <v>45</v>
      </c>
      <c r="S207" s="10">
        <v>9</v>
      </c>
      <c r="T207" s="10" t="s">
        <v>25</v>
      </c>
      <c r="U207" s="10" t="s">
        <v>97</v>
      </c>
      <c r="V207" s="10">
        <v>8</v>
      </c>
      <c r="W207" s="10" t="s">
        <v>342</v>
      </c>
    </row>
    <row r="208" spans="1:23" ht="18.95" customHeight="1">
      <c r="A208" s="7">
        <v>207</v>
      </c>
      <c r="B208" s="12">
        <v>1995</v>
      </c>
      <c r="C208" s="20" t="s">
        <v>351</v>
      </c>
      <c r="D208" s="13" t="s">
        <v>258</v>
      </c>
      <c r="E208" s="13" t="s">
        <v>87</v>
      </c>
      <c r="F208" s="13" t="s">
        <v>57</v>
      </c>
      <c r="G208" s="13" t="s">
        <v>17</v>
      </c>
      <c r="H208" s="13" t="s">
        <v>18</v>
      </c>
      <c r="I208" s="13" t="s">
        <v>396</v>
      </c>
      <c r="J208" s="13">
        <v>9</v>
      </c>
      <c r="K208" s="13" t="s">
        <v>20</v>
      </c>
      <c r="L208" s="13">
        <v>7</v>
      </c>
      <c r="M208" s="13">
        <v>9</v>
      </c>
      <c r="N208" s="13">
        <v>9</v>
      </c>
      <c r="O208" s="13" t="s">
        <v>43</v>
      </c>
      <c r="P208" s="13">
        <v>9</v>
      </c>
      <c r="Q208" s="13" t="s">
        <v>22</v>
      </c>
      <c r="R208" s="13" t="s">
        <v>45</v>
      </c>
      <c r="S208" s="13">
        <v>4</v>
      </c>
      <c r="T208" s="13" t="s">
        <v>34</v>
      </c>
      <c r="U208" s="13" t="s">
        <v>140</v>
      </c>
      <c r="V208" s="13">
        <v>6</v>
      </c>
      <c r="W208" s="13" t="s">
        <v>292</v>
      </c>
    </row>
    <row r="209" spans="1:23" ht="18.95" customHeight="1">
      <c r="A209" s="7">
        <v>208</v>
      </c>
      <c r="B209" s="8">
        <v>1995</v>
      </c>
      <c r="C209" s="20" t="s">
        <v>351</v>
      </c>
      <c r="D209" s="10" t="s">
        <v>35</v>
      </c>
      <c r="E209" s="10" t="s">
        <v>36</v>
      </c>
      <c r="F209" s="10" t="s">
        <v>16</v>
      </c>
      <c r="G209" s="10" t="s">
        <v>103</v>
      </c>
      <c r="H209" s="10" t="s">
        <v>18</v>
      </c>
      <c r="I209" s="10" t="s">
        <v>319</v>
      </c>
      <c r="J209" s="10">
        <v>8</v>
      </c>
      <c r="K209" s="10" t="s">
        <v>93</v>
      </c>
      <c r="L209" s="10">
        <v>7</v>
      </c>
      <c r="M209" s="10">
        <v>7</v>
      </c>
      <c r="N209" s="10">
        <v>7</v>
      </c>
      <c r="O209" s="10" t="s">
        <v>21</v>
      </c>
      <c r="P209" s="10">
        <v>9</v>
      </c>
      <c r="Q209" s="10" t="s">
        <v>64</v>
      </c>
      <c r="R209" s="10" t="s">
        <v>397</v>
      </c>
      <c r="S209" s="10">
        <v>5</v>
      </c>
      <c r="T209" s="10" t="s">
        <v>34</v>
      </c>
      <c r="U209" s="10" t="s">
        <v>80</v>
      </c>
      <c r="V209" s="10">
        <v>8</v>
      </c>
      <c r="W209" s="10" t="s">
        <v>292</v>
      </c>
    </row>
    <row r="210" spans="1:23" ht="18.95" customHeight="1">
      <c r="A210" s="7">
        <v>209</v>
      </c>
      <c r="B210" s="12">
        <v>1995</v>
      </c>
      <c r="C210" s="20" t="s">
        <v>351</v>
      </c>
      <c r="D210" s="13" t="s">
        <v>203</v>
      </c>
      <c r="E210" s="13" t="s">
        <v>75</v>
      </c>
      <c r="F210" s="13" t="s">
        <v>16</v>
      </c>
      <c r="G210" s="13" t="s">
        <v>103</v>
      </c>
      <c r="H210" s="13" t="s">
        <v>18</v>
      </c>
      <c r="I210" s="13" t="s">
        <v>319</v>
      </c>
      <c r="J210" s="13">
        <v>8</v>
      </c>
      <c r="K210" s="13" t="s">
        <v>85</v>
      </c>
      <c r="L210" s="13">
        <v>8</v>
      </c>
      <c r="M210" s="13">
        <v>7</v>
      </c>
      <c r="N210" s="13">
        <v>8</v>
      </c>
      <c r="O210" s="13" t="s">
        <v>94</v>
      </c>
      <c r="P210" s="13">
        <v>8</v>
      </c>
      <c r="Q210" s="13" t="s">
        <v>22</v>
      </c>
      <c r="R210" s="13" t="s">
        <v>29</v>
      </c>
      <c r="S210" s="13">
        <v>8</v>
      </c>
      <c r="T210" s="13" t="s">
        <v>34</v>
      </c>
      <c r="U210" s="13" t="s">
        <v>97</v>
      </c>
      <c r="V210" s="13">
        <v>8</v>
      </c>
      <c r="W210" s="13" t="s">
        <v>398</v>
      </c>
    </row>
    <row r="211" spans="1:23" ht="18.95" customHeight="1">
      <c r="A211" s="7">
        <v>210</v>
      </c>
      <c r="B211" s="8">
        <v>1995</v>
      </c>
      <c r="C211" s="20" t="s">
        <v>351</v>
      </c>
      <c r="D211" s="10" t="s">
        <v>89</v>
      </c>
      <c r="E211" s="10" t="s">
        <v>90</v>
      </c>
      <c r="F211" s="10" t="s">
        <v>57</v>
      </c>
      <c r="G211" s="10" t="s">
        <v>17</v>
      </c>
      <c r="H211" s="10" t="s">
        <v>18</v>
      </c>
      <c r="I211" s="10" t="s">
        <v>76</v>
      </c>
      <c r="J211" s="10">
        <v>9</v>
      </c>
      <c r="K211" s="10" t="s">
        <v>20</v>
      </c>
      <c r="L211" s="10">
        <v>10</v>
      </c>
      <c r="M211" s="10">
        <v>1</v>
      </c>
      <c r="N211" s="10">
        <v>8</v>
      </c>
      <c r="O211" s="10" t="s">
        <v>21</v>
      </c>
      <c r="P211" s="10">
        <v>10</v>
      </c>
      <c r="Q211" s="10" t="s">
        <v>22</v>
      </c>
      <c r="R211" s="10" t="s">
        <v>38</v>
      </c>
      <c r="S211" s="10">
        <v>10</v>
      </c>
      <c r="T211" s="10" t="s">
        <v>34</v>
      </c>
      <c r="U211" s="10" t="s">
        <v>26</v>
      </c>
      <c r="V211" s="10">
        <v>9</v>
      </c>
      <c r="W211" s="10" t="s">
        <v>292</v>
      </c>
    </row>
    <row r="212" spans="1:23" ht="18.95" customHeight="1">
      <c r="A212" s="7">
        <v>211</v>
      </c>
      <c r="B212" s="12">
        <v>1995</v>
      </c>
      <c r="C212" s="20" t="s">
        <v>351</v>
      </c>
      <c r="D212" s="13" t="s">
        <v>134</v>
      </c>
      <c r="E212" s="13" t="s">
        <v>87</v>
      </c>
      <c r="F212" s="13" t="s">
        <v>57</v>
      </c>
      <c r="G212" s="13" t="s">
        <v>103</v>
      </c>
      <c r="H212" s="13" t="s">
        <v>18</v>
      </c>
      <c r="I212" s="13" t="s">
        <v>170</v>
      </c>
      <c r="J212" s="13">
        <v>8</v>
      </c>
      <c r="K212" s="13" t="s">
        <v>93</v>
      </c>
      <c r="L212" s="13">
        <v>8</v>
      </c>
      <c r="M212" s="13">
        <v>9</v>
      </c>
      <c r="N212" s="13">
        <v>8</v>
      </c>
      <c r="O212" s="13" t="s">
        <v>21</v>
      </c>
      <c r="P212" s="13">
        <v>9</v>
      </c>
      <c r="Q212" s="13" t="s">
        <v>59</v>
      </c>
      <c r="R212" s="13" t="s">
        <v>45</v>
      </c>
      <c r="S212" s="13">
        <v>8</v>
      </c>
      <c r="T212" s="13" t="s">
        <v>34</v>
      </c>
      <c r="U212" s="13" t="s">
        <v>80</v>
      </c>
      <c r="V212" s="13">
        <v>8</v>
      </c>
      <c r="W212" s="13" t="s">
        <v>353</v>
      </c>
    </row>
    <row r="213" spans="1:23" ht="18.95" customHeight="1">
      <c r="A213" s="7">
        <v>212</v>
      </c>
      <c r="B213" s="8">
        <v>1995</v>
      </c>
      <c r="C213" s="20" t="s">
        <v>351</v>
      </c>
      <c r="D213" s="10" t="s">
        <v>119</v>
      </c>
      <c r="E213" s="10" t="s">
        <v>75</v>
      </c>
      <c r="F213" s="10" t="s">
        <v>57</v>
      </c>
      <c r="G213" s="10" t="s">
        <v>17</v>
      </c>
      <c r="H213" s="10" t="s">
        <v>18</v>
      </c>
      <c r="I213" s="10" t="s">
        <v>49</v>
      </c>
      <c r="J213" s="10">
        <v>5</v>
      </c>
      <c r="K213" s="10" t="s">
        <v>85</v>
      </c>
      <c r="L213" s="10">
        <v>3</v>
      </c>
      <c r="M213" s="10">
        <v>10</v>
      </c>
      <c r="N213" s="10">
        <v>3</v>
      </c>
      <c r="O213" s="10" t="s">
        <v>43</v>
      </c>
      <c r="P213" s="10">
        <v>10</v>
      </c>
      <c r="Q213" s="10" t="s">
        <v>125</v>
      </c>
      <c r="R213" s="10" t="s">
        <v>112</v>
      </c>
      <c r="S213" s="10">
        <v>6</v>
      </c>
      <c r="T213" s="10" t="s">
        <v>34</v>
      </c>
      <c r="U213" s="10" t="s">
        <v>80</v>
      </c>
      <c r="V213" s="10">
        <v>5</v>
      </c>
      <c r="W213" s="10" t="s">
        <v>399</v>
      </c>
    </row>
    <row r="214" spans="1:23" ht="18.95" customHeight="1">
      <c r="A214" s="7">
        <v>213</v>
      </c>
      <c r="B214" s="12">
        <v>1995</v>
      </c>
      <c r="C214" s="20" t="s">
        <v>351</v>
      </c>
      <c r="D214" s="13" t="s">
        <v>102</v>
      </c>
      <c r="E214" s="13" t="s">
        <v>36</v>
      </c>
      <c r="F214" s="13" t="s">
        <v>57</v>
      </c>
      <c r="G214" s="13" t="s">
        <v>103</v>
      </c>
      <c r="H214" s="13" t="s">
        <v>18</v>
      </c>
      <c r="I214" s="13" t="s">
        <v>81</v>
      </c>
      <c r="J214" s="13">
        <v>6</v>
      </c>
      <c r="K214" s="13" t="s">
        <v>20</v>
      </c>
      <c r="L214" s="13">
        <v>5</v>
      </c>
      <c r="M214" s="13">
        <v>10</v>
      </c>
      <c r="N214" s="13">
        <v>9</v>
      </c>
      <c r="O214" s="13" t="s">
        <v>94</v>
      </c>
      <c r="P214" s="13">
        <v>10</v>
      </c>
      <c r="Q214" s="13" t="s">
        <v>116</v>
      </c>
      <c r="R214" s="13" t="s">
        <v>400</v>
      </c>
      <c r="S214" s="13">
        <v>5</v>
      </c>
      <c r="T214" s="13" t="s">
        <v>34</v>
      </c>
      <c r="U214" s="13" t="s">
        <v>97</v>
      </c>
      <c r="V214" s="13">
        <v>8</v>
      </c>
      <c r="W214" s="13" t="s">
        <v>387</v>
      </c>
    </row>
    <row r="215" spans="1:23" ht="18.95" customHeight="1">
      <c r="A215" s="7">
        <v>214</v>
      </c>
      <c r="B215" s="8">
        <v>1995</v>
      </c>
      <c r="C215" s="20" t="s">
        <v>351</v>
      </c>
      <c r="D215" s="10" t="s">
        <v>102</v>
      </c>
      <c r="E215" s="10" t="s">
        <v>36</v>
      </c>
      <c r="F215" s="10" t="s">
        <v>57</v>
      </c>
      <c r="G215" s="10" t="s">
        <v>17</v>
      </c>
      <c r="H215" s="10" t="s">
        <v>18</v>
      </c>
      <c r="I215" s="10" t="s">
        <v>76</v>
      </c>
      <c r="J215" s="10">
        <v>5</v>
      </c>
      <c r="K215" s="10" t="s">
        <v>32</v>
      </c>
      <c r="L215" s="10">
        <v>10</v>
      </c>
      <c r="M215" s="10">
        <v>5</v>
      </c>
      <c r="N215" s="10">
        <v>10</v>
      </c>
      <c r="O215" s="10" t="s">
        <v>21</v>
      </c>
      <c r="P215" s="10">
        <v>9</v>
      </c>
      <c r="Q215" s="10" t="s">
        <v>125</v>
      </c>
      <c r="R215" s="10" t="s">
        <v>112</v>
      </c>
      <c r="S215" s="10">
        <v>1</v>
      </c>
      <c r="T215" s="10" t="s">
        <v>34</v>
      </c>
      <c r="U215" s="10" t="s">
        <v>62</v>
      </c>
      <c r="V215" s="10">
        <v>10</v>
      </c>
      <c r="W215" s="10" t="s">
        <v>401</v>
      </c>
    </row>
    <row r="216" spans="1:23" ht="18.95" customHeight="1">
      <c r="A216" s="7">
        <v>215</v>
      </c>
      <c r="B216" s="12">
        <v>1995</v>
      </c>
      <c r="C216" s="20" t="s">
        <v>351</v>
      </c>
      <c r="D216" s="13" t="s">
        <v>203</v>
      </c>
      <c r="E216" s="13" t="s">
        <v>75</v>
      </c>
      <c r="F216" s="13" t="s">
        <v>57</v>
      </c>
      <c r="G216" s="13" t="s">
        <v>17</v>
      </c>
      <c r="H216" s="13" t="s">
        <v>18</v>
      </c>
      <c r="I216" s="13" t="s">
        <v>49</v>
      </c>
      <c r="J216" s="13">
        <v>6</v>
      </c>
      <c r="K216" s="13" t="s">
        <v>93</v>
      </c>
      <c r="L216" s="13">
        <v>8</v>
      </c>
      <c r="M216" s="13">
        <v>4</v>
      </c>
      <c r="N216" s="13">
        <v>7</v>
      </c>
      <c r="O216" s="13" t="s">
        <v>21</v>
      </c>
      <c r="P216" s="13">
        <v>5</v>
      </c>
      <c r="Q216" s="13" t="s">
        <v>22</v>
      </c>
      <c r="R216" s="13" t="s">
        <v>45</v>
      </c>
      <c r="S216" s="13">
        <v>10</v>
      </c>
      <c r="T216" s="13" t="s">
        <v>73</v>
      </c>
      <c r="U216" s="13" t="s">
        <v>97</v>
      </c>
      <c r="V216" s="13">
        <v>9</v>
      </c>
      <c r="W216" s="13" t="s">
        <v>402</v>
      </c>
    </row>
    <row r="217" spans="1:23" ht="18.95" customHeight="1">
      <c r="A217" s="7">
        <v>216</v>
      </c>
      <c r="B217" s="8">
        <v>1995</v>
      </c>
      <c r="C217" s="20" t="s">
        <v>351</v>
      </c>
      <c r="D217" s="10" t="s">
        <v>258</v>
      </c>
      <c r="E217" s="10" t="s">
        <v>87</v>
      </c>
      <c r="F217" s="10" t="s">
        <v>57</v>
      </c>
      <c r="G217" s="10" t="s">
        <v>17</v>
      </c>
      <c r="H217" s="10" t="s">
        <v>18</v>
      </c>
      <c r="I217" s="10" t="s">
        <v>170</v>
      </c>
      <c r="J217" s="10">
        <v>8</v>
      </c>
      <c r="K217" s="10" t="s">
        <v>93</v>
      </c>
      <c r="L217" s="10">
        <v>9</v>
      </c>
      <c r="M217" s="10">
        <v>8</v>
      </c>
      <c r="N217" s="10">
        <v>8</v>
      </c>
      <c r="O217" s="10" t="s">
        <v>94</v>
      </c>
      <c r="P217" s="10">
        <v>8</v>
      </c>
      <c r="Q217" s="10" t="s">
        <v>22</v>
      </c>
      <c r="R217" s="10" t="s">
        <v>33</v>
      </c>
      <c r="S217" s="10">
        <v>9</v>
      </c>
      <c r="T217" s="10" t="s">
        <v>34</v>
      </c>
      <c r="U217" s="10" t="s">
        <v>68</v>
      </c>
      <c r="V217" s="10">
        <v>7</v>
      </c>
      <c r="W217" s="10" t="s">
        <v>314</v>
      </c>
    </row>
    <row r="218" spans="1:23" ht="18.95" customHeight="1">
      <c r="A218" s="7">
        <v>217</v>
      </c>
      <c r="B218" s="12">
        <v>1995</v>
      </c>
      <c r="C218" s="20" t="s">
        <v>351</v>
      </c>
      <c r="D218" s="13" t="s">
        <v>133</v>
      </c>
      <c r="E218" s="13" t="s">
        <v>15</v>
      </c>
      <c r="F218" s="13" t="s">
        <v>57</v>
      </c>
      <c r="G218" s="13" t="s">
        <v>17</v>
      </c>
      <c r="H218" s="13" t="s">
        <v>18</v>
      </c>
      <c r="I218" s="13" t="s">
        <v>19</v>
      </c>
      <c r="J218" s="13">
        <v>3</v>
      </c>
      <c r="K218" s="13" t="s">
        <v>20</v>
      </c>
      <c r="L218" s="13">
        <v>5</v>
      </c>
      <c r="M218" s="13">
        <v>10</v>
      </c>
      <c r="N218" s="13">
        <v>10</v>
      </c>
      <c r="O218" s="13" t="s">
        <v>94</v>
      </c>
      <c r="P218" s="13">
        <v>6</v>
      </c>
      <c r="Q218" s="13" t="s">
        <v>22</v>
      </c>
      <c r="R218" s="13" t="s">
        <v>23</v>
      </c>
      <c r="S218" s="13">
        <v>10</v>
      </c>
      <c r="T218" s="13" t="s">
        <v>309</v>
      </c>
      <c r="U218" s="13" t="s">
        <v>26</v>
      </c>
      <c r="V218" s="13">
        <v>9</v>
      </c>
      <c r="W218" s="13" t="s">
        <v>357</v>
      </c>
    </row>
    <row r="219" spans="1:23" ht="18.95" customHeight="1">
      <c r="A219" s="7">
        <v>218</v>
      </c>
      <c r="B219" s="8">
        <v>1995</v>
      </c>
      <c r="C219" s="20" t="s">
        <v>351</v>
      </c>
      <c r="D219" s="10" t="s">
        <v>203</v>
      </c>
      <c r="E219" s="10" t="s">
        <v>75</v>
      </c>
      <c r="F219" s="10" t="s">
        <v>16</v>
      </c>
      <c r="G219" s="10" t="s">
        <v>17</v>
      </c>
      <c r="H219" s="10" t="s">
        <v>18</v>
      </c>
      <c r="I219" s="10" t="s">
        <v>31</v>
      </c>
      <c r="J219" s="10">
        <v>7</v>
      </c>
      <c r="K219" s="10" t="s">
        <v>85</v>
      </c>
      <c r="L219" s="10">
        <v>9</v>
      </c>
      <c r="M219" s="10">
        <v>1</v>
      </c>
      <c r="N219" s="10">
        <v>8</v>
      </c>
      <c r="O219" s="10" t="s">
        <v>21</v>
      </c>
      <c r="P219" s="10">
        <v>9</v>
      </c>
      <c r="Q219" s="10" t="s">
        <v>59</v>
      </c>
      <c r="R219" s="10" t="s">
        <v>38</v>
      </c>
      <c r="S219" s="10">
        <v>9</v>
      </c>
      <c r="T219" s="10" t="s">
        <v>34</v>
      </c>
      <c r="U219" s="10" t="s">
        <v>68</v>
      </c>
      <c r="V219" s="10">
        <v>9</v>
      </c>
      <c r="W219" s="10" t="s">
        <v>404</v>
      </c>
    </row>
    <row r="220" spans="1:23" ht="18.95" customHeight="1">
      <c r="A220" s="7">
        <v>219</v>
      </c>
      <c r="B220" s="12">
        <v>1996</v>
      </c>
      <c r="C220" s="20" t="s">
        <v>351</v>
      </c>
      <c r="D220" s="13" t="s">
        <v>98</v>
      </c>
      <c r="E220" s="13" t="s">
        <v>15</v>
      </c>
      <c r="F220" s="13" t="s">
        <v>57</v>
      </c>
      <c r="G220" s="13" t="s">
        <v>17</v>
      </c>
      <c r="H220" s="13" t="s">
        <v>18</v>
      </c>
      <c r="I220" s="13" t="s">
        <v>170</v>
      </c>
      <c r="J220" s="13">
        <v>9</v>
      </c>
      <c r="K220" s="13" t="s">
        <v>20</v>
      </c>
      <c r="L220" s="13">
        <v>6</v>
      </c>
      <c r="M220" s="13">
        <v>8</v>
      </c>
      <c r="N220" s="13">
        <v>8</v>
      </c>
      <c r="O220" s="13" t="s">
        <v>21</v>
      </c>
      <c r="P220" s="13">
        <v>9</v>
      </c>
      <c r="Q220" s="13" t="s">
        <v>22</v>
      </c>
      <c r="R220" s="13" t="s">
        <v>51</v>
      </c>
      <c r="S220" s="13">
        <v>9</v>
      </c>
      <c r="T220" s="13" t="s">
        <v>34</v>
      </c>
      <c r="U220" s="13" t="s">
        <v>54</v>
      </c>
      <c r="V220" s="13">
        <v>9</v>
      </c>
      <c r="W220" s="14" t="s">
        <v>329</v>
      </c>
    </row>
    <row r="221" spans="1:23" ht="18.95" customHeight="1">
      <c r="A221" s="7">
        <v>220</v>
      </c>
      <c r="B221" s="8">
        <v>1996</v>
      </c>
      <c r="C221" s="20" t="s">
        <v>351</v>
      </c>
      <c r="D221" s="10" t="s">
        <v>217</v>
      </c>
      <c r="E221" s="10" t="s">
        <v>56</v>
      </c>
      <c r="F221" s="10" t="s">
        <v>16</v>
      </c>
      <c r="G221" s="10" t="s">
        <v>17</v>
      </c>
      <c r="H221" s="10" t="s">
        <v>18</v>
      </c>
      <c r="I221" s="10" t="s">
        <v>162</v>
      </c>
      <c r="J221" s="10">
        <v>8</v>
      </c>
      <c r="K221" s="10" t="s">
        <v>85</v>
      </c>
      <c r="L221" s="10">
        <v>7</v>
      </c>
      <c r="M221" s="10">
        <v>9</v>
      </c>
      <c r="N221" s="10">
        <v>8</v>
      </c>
      <c r="O221" s="10" t="s">
        <v>21</v>
      </c>
      <c r="P221" s="10">
        <v>7</v>
      </c>
      <c r="Q221" s="10" t="s">
        <v>22</v>
      </c>
      <c r="R221" s="10" t="s">
        <v>33</v>
      </c>
      <c r="S221" s="10">
        <v>5</v>
      </c>
      <c r="T221" s="10" t="s">
        <v>34</v>
      </c>
      <c r="U221" s="10" t="s">
        <v>68</v>
      </c>
      <c r="V221" s="10">
        <v>7</v>
      </c>
      <c r="W221" s="11" t="s">
        <v>405</v>
      </c>
    </row>
    <row r="222" spans="1:23" ht="18.95" customHeight="1">
      <c r="A222" s="7">
        <v>221</v>
      </c>
      <c r="B222" s="12">
        <v>1996</v>
      </c>
      <c r="C222" s="20" t="s">
        <v>351</v>
      </c>
      <c r="D222" s="13" t="s">
        <v>246</v>
      </c>
      <c r="E222" s="13" t="s">
        <v>75</v>
      </c>
      <c r="F222" s="13" t="s">
        <v>57</v>
      </c>
      <c r="G222" s="13" t="s">
        <v>47</v>
      </c>
      <c r="H222" s="13" t="s">
        <v>18</v>
      </c>
      <c r="I222" s="13" t="s">
        <v>163</v>
      </c>
      <c r="J222" s="13">
        <v>10</v>
      </c>
      <c r="K222" s="13" t="s">
        <v>20</v>
      </c>
      <c r="L222" s="13">
        <v>10</v>
      </c>
      <c r="M222" s="13">
        <v>8</v>
      </c>
      <c r="N222" s="13">
        <v>10</v>
      </c>
      <c r="O222" s="13" t="s">
        <v>21</v>
      </c>
      <c r="P222" s="13">
        <v>9</v>
      </c>
      <c r="Q222" s="13" t="s">
        <v>22</v>
      </c>
      <c r="R222" s="13" t="s">
        <v>51</v>
      </c>
      <c r="S222" s="13">
        <v>6</v>
      </c>
      <c r="T222" s="13" t="s">
        <v>67</v>
      </c>
      <c r="U222" s="13" t="s">
        <v>140</v>
      </c>
      <c r="V222" s="13">
        <v>8</v>
      </c>
      <c r="W222" s="14" t="s">
        <v>406</v>
      </c>
    </row>
    <row r="223" spans="1:23" ht="18.95" customHeight="1">
      <c r="A223" s="7">
        <v>222</v>
      </c>
      <c r="B223" s="8">
        <v>1996</v>
      </c>
      <c r="C223" s="20" t="s">
        <v>351</v>
      </c>
      <c r="D223" s="10" t="s">
        <v>327</v>
      </c>
      <c r="E223" s="10" t="s">
        <v>87</v>
      </c>
      <c r="F223" s="10" t="s">
        <v>16</v>
      </c>
      <c r="G223" s="10" t="s">
        <v>47</v>
      </c>
      <c r="H223" s="10" t="s">
        <v>18</v>
      </c>
      <c r="I223" s="10" t="s">
        <v>84</v>
      </c>
      <c r="J223" s="10">
        <v>9</v>
      </c>
      <c r="K223" s="10" t="s">
        <v>20</v>
      </c>
      <c r="L223" s="10">
        <v>10</v>
      </c>
      <c r="M223" s="10">
        <v>10</v>
      </c>
      <c r="N223" s="10">
        <v>10</v>
      </c>
      <c r="O223" s="10" t="s">
        <v>21</v>
      </c>
      <c r="P223" s="10">
        <v>10</v>
      </c>
      <c r="Q223" s="10" t="s">
        <v>59</v>
      </c>
      <c r="R223" s="10" t="s">
        <v>45</v>
      </c>
      <c r="S223" s="10">
        <v>10</v>
      </c>
      <c r="T223" s="10" t="s">
        <v>34</v>
      </c>
      <c r="U223" s="10" t="s">
        <v>26</v>
      </c>
      <c r="V223" s="10">
        <v>9</v>
      </c>
      <c r="W223" s="10" t="s">
        <v>292</v>
      </c>
    </row>
    <row r="224" spans="1:23" ht="18.95" customHeight="1">
      <c r="A224" s="7">
        <v>223</v>
      </c>
      <c r="B224" s="12">
        <v>1996</v>
      </c>
      <c r="C224" s="20" t="s">
        <v>351</v>
      </c>
      <c r="D224" s="13" t="s">
        <v>82</v>
      </c>
      <c r="E224" s="13" t="s">
        <v>75</v>
      </c>
      <c r="F224" s="13" t="s">
        <v>57</v>
      </c>
      <c r="G224" s="13" t="s">
        <v>47</v>
      </c>
      <c r="H224" s="13" t="s">
        <v>18</v>
      </c>
      <c r="I224" s="13" t="s">
        <v>19</v>
      </c>
      <c r="J224" s="13">
        <v>7</v>
      </c>
      <c r="K224" s="13" t="s">
        <v>20</v>
      </c>
      <c r="L224" s="13">
        <v>8</v>
      </c>
      <c r="M224" s="13">
        <v>9</v>
      </c>
      <c r="N224" s="13">
        <v>8</v>
      </c>
      <c r="O224" s="13" t="s">
        <v>312</v>
      </c>
      <c r="P224" s="13">
        <v>3</v>
      </c>
      <c r="Q224" s="13" t="s">
        <v>22</v>
      </c>
      <c r="R224" s="13" t="s">
        <v>45</v>
      </c>
      <c r="S224" s="13">
        <v>10</v>
      </c>
      <c r="T224" s="13" t="s">
        <v>73</v>
      </c>
      <c r="U224" s="13" t="s">
        <v>54</v>
      </c>
      <c r="V224" s="13">
        <v>10</v>
      </c>
      <c r="W224" s="13" t="s">
        <v>407</v>
      </c>
    </row>
    <row r="225" spans="1:23" ht="18.95" customHeight="1">
      <c r="A225" s="7">
        <v>224</v>
      </c>
      <c r="B225" s="8">
        <v>1996</v>
      </c>
      <c r="C225" s="20" t="s">
        <v>351</v>
      </c>
      <c r="D225" s="10" t="s">
        <v>246</v>
      </c>
      <c r="E225" s="10" t="s">
        <v>75</v>
      </c>
      <c r="F225" s="10" t="s">
        <v>57</v>
      </c>
      <c r="G225" s="10" t="s">
        <v>47</v>
      </c>
      <c r="H225" s="10" t="s">
        <v>18</v>
      </c>
      <c r="I225" s="10" t="s">
        <v>170</v>
      </c>
      <c r="J225" s="10">
        <v>7</v>
      </c>
      <c r="K225" s="10" t="s">
        <v>93</v>
      </c>
      <c r="L225" s="10">
        <v>6</v>
      </c>
      <c r="M225" s="10">
        <v>1</v>
      </c>
      <c r="N225" s="10">
        <v>7</v>
      </c>
      <c r="O225" s="10" t="s">
        <v>21</v>
      </c>
      <c r="P225" s="10">
        <v>8</v>
      </c>
      <c r="Q225" s="10" t="s">
        <v>37</v>
      </c>
      <c r="R225" s="10" t="s">
        <v>45</v>
      </c>
      <c r="S225" s="10">
        <v>10</v>
      </c>
      <c r="T225" s="10" t="s">
        <v>34</v>
      </c>
      <c r="U225" s="10" t="s">
        <v>80</v>
      </c>
      <c r="V225" s="10">
        <v>9</v>
      </c>
      <c r="W225" s="10" t="s">
        <v>408</v>
      </c>
    </row>
    <row r="226" spans="1:23" ht="18.95" customHeight="1">
      <c r="A226" s="7">
        <v>225</v>
      </c>
      <c r="B226" s="12">
        <v>1996</v>
      </c>
      <c r="C226" s="20" t="s">
        <v>351</v>
      </c>
      <c r="D226" s="13" t="s">
        <v>168</v>
      </c>
      <c r="E226" s="13" t="s">
        <v>15</v>
      </c>
      <c r="F226" s="13" t="s">
        <v>16</v>
      </c>
      <c r="G226" s="13" t="s">
        <v>103</v>
      </c>
      <c r="H226" s="13" t="s">
        <v>18</v>
      </c>
      <c r="I226" s="13" t="s">
        <v>170</v>
      </c>
      <c r="J226" s="13">
        <v>8</v>
      </c>
      <c r="K226" s="13" t="s">
        <v>93</v>
      </c>
      <c r="L226" s="13">
        <v>8</v>
      </c>
      <c r="M226" s="13">
        <v>10</v>
      </c>
      <c r="N226" s="13">
        <v>8</v>
      </c>
      <c r="O226" s="13" t="s">
        <v>21</v>
      </c>
      <c r="P226" s="13">
        <v>8</v>
      </c>
      <c r="Q226" s="13" t="s">
        <v>22</v>
      </c>
      <c r="R226" s="13" t="s">
        <v>45</v>
      </c>
      <c r="S226" s="13">
        <v>8</v>
      </c>
      <c r="T226" s="13" t="s">
        <v>124</v>
      </c>
      <c r="U226" s="13" t="s">
        <v>80</v>
      </c>
      <c r="V226" s="13">
        <v>10</v>
      </c>
      <c r="W226" s="13" t="s">
        <v>186</v>
      </c>
    </row>
    <row r="227" spans="1:23" ht="18.95" customHeight="1">
      <c r="A227" s="7">
        <v>226</v>
      </c>
      <c r="B227" s="8">
        <v>1996</v>
      </c>
      <c r="C227" s="20" t="s">
        <v>351</v>
      </c>
      <c r="D227" s="10" t="s">
        <v>147</v>
      </c>
      <c r="E227" s="10" t="s">
        <v>36</v>
      </c>
      <c r="F227" s="10" t="s">
        <v>57</v>
      </c>
      <c r="G227" s="10" t="s">
        <v>17</v>
      </c>
      <c r="H227" s="10" t="s">
        <v>18</v>
      </c>
      <c r="I227" s="10" t="s">
        <v>84</v>
      </c>
      <c r="J227" s="10">
        <v>8</v>
      </c>
      <c r="K227" s="10" t="s">
        <v>50</v>
      </c>
      <c r="L227" s="10">
        <v>8</v>
      </c>
      <c r="M227" s="10">
        <v>10</v>
      </c>
      <c r="N227" s="10">
        <v>10</v>
      </c>
      <c r="O227" s="10" t="s">
        <v>21</v>
      </c>
      <c r="P227" s="10">
        <v>9</v>
      </c>
      <c r="Q227" s="10" t="s">
        <v>59</v>
      </c>
      <c r="R227" s="10" t="s">
        <v>45</v>
      </c>
      <c r="S227" s="10">
        <v>10</v>
      </c>
      <c r="T227" s="10" t="s">
        <v>34</v>
      </c>
      <c r="U227" s="10" t="s">
        <v>54</v>
      </c>
      <c r="V227" s="10">
        <v>10</v>
      </c>
      <c r="W227" s="10" t="s">
        <v>409</v>
      </c>
    </row>
    <row r="228" spans="1:23" ht="18.95" customHeight="1">
      <c r="A228" s="7">
        <v>227</v>
      </c>
      <c r="B228" s="12">
        <v>1996</v>
      </c>
      <c r="C228" s="20" t="s">
        <v>351</v>
      </c>
      <c r="D228" s="13" t="s">
        <v>147</v>
      </c>
      <c r="E228" s="13" t="s">
        <v>36</v>
      </c>
      <c r="F228" s="13" t="s">
        <v>57</v>
      </c>
      <c r="G228" s="13" t="s">
        <v>17</v>
      </c>
      <c r="H228" s="13" t="s">
        <v>18</v>
      </c>
      <c r="I228" s="13" t="s">
        <v>108</v>
      </c>
      <c r="J228" s="13">
        <v>8</v>
      </c>
      <c r="K228" s="13" t="s">
        <v>93</v>
      </c>
      <c r="L228" s="13">
        <v>10</v>
      </c>
      <c r="M228" s="13">
        <v>10</v>
      </c>
      <c r="N228" s="13">
        <v>8</v>
      </c>
      <c r="O228" s="13" t="s">
        <v>43</v>
      </c>
      <c r="P228" s="13">
        <v>5</v>
      </c>
      <c r="Q228" s="13" t="s">
        <v>22</v>
      </c>
      <c r="R228" s="13" t="s">
        <v>391</v>
      </c>
      <c r="S228" s="13">
        <v>1</v>
      </c>
      <c r="T228" s="13" t="s">
        <v>34</v>
      </c>
      <c r="U228" s="13" t="s">
        <v>97</v>
      </c>
      <c r="V228" s="13">
        <v>4</v>
      </c>
      <c r="W228" s="13" t="s">
        <v>186</v>
      </c>
    </row>
    <row r="229" spans="1:23" ht="18.95" customHeight="1">
      <c r="A229" s="7">
        <v>228</v>
      </c>
      <c r="B229" s="8">
        <v>1996</v>
      </c>
      <c r="C229" s="20" t="s">
        <v>351</v>
      </c>
      <c r="D229" s="10" t="s">
        <v>258</v>
      </c>
      <c r="E229" s="10" t="s">
        <v>87</v>
      </c>
      <c r="F229" s="10" t="s">
        <v>16</v>
      </c>
      <c r="G229" s="10" t="s">
        <v>17</v>
      </c>
      <c r="H229" s="10" t="s">
        <v>18</v>
      </c>
      <c r="I229" s="10" t="s">
        <v>307</v>
      </c>
      <c r="J229" s="10">
        <v>8</v>
      </c>
      <c r="K229" s="10" t="s">
        <v>32</v>
      </c>
      <c r="L229" s="10">
        <v>8</v>
      </c>
      <c r="M229" s="10">
        <v>3</v>
      </c>
      <c r="N229" s="10">
        <v>5</v>
      </c>
      <c r="O229" s="10" t="s">
        <v>21</v>
      </c>
      <c r="P229" s="10">
        <v>8</v>
      </c>
      <c r="Q229" s="10" t="s">
        <v>44</v>
      </c>
      <c r="R229" s="10" t="s">
        <v>33</v>
      </c>
      <c r="S229" s="10">
        <v>10</v>
      </c>
      <c r="T229" s="10" t="s">
        <v>153</v>
      </c>
      <c r="U229" s="10" t="s">
        <v>26</v>
      </c>
      <c r="V229" s="10">
        <v>8</v>
      </c>
      <c r="W229" s="10" t="s">
        <v>356</v>
      </c>
    </row>
    <row r="230" spans="1:23" ht="18.95" customHeight="1">
      <c r="A230" s="7">
        <v>229</v>
      </c>
      <c r="B230" s="12">
        <v>1996</v>
      </c>
      <c r="C230" s="20" t="s">
        <v>351</v>
      </c>
      <c r="D230" s="13" t="s">
        <v>41</v>
      </c>
      <c r="E230" s="13" t="s">
        <v>42</v>
      </c>
      <c r="F230" s="13" t="s">
        <v>57</v>
      </c>
      <c r="G230" s="13" t="s">
        <v>103</v>
      </c>
      <c r="H230" s="13" t="s">
        <v>18</v>
      </c>
      <c r="I230" s="13" t="s">
        <v>162</v>
      </c>
      <c r="J230" s="13">
        <v>7</v>
      </c>
      <c r="K230" s="13" t="s">
        <v>93</v>
      </c>
      <c r="L230" s="13">
        <v>10</v>
      </c>
      <c r="M230" s="13">
        <v>1</v>
      </c>
      <c r="N230" s="13">
        <v>4</v>
      </c>
      <c r="O230" s="13" t="s">
        <v>21</v>
      </c>
      <c r="P230" s="13">
        <v>5</v>
      </c>
      <c r="Q230" s="13" t="s">
        <v>59</v>
      </c>
      <c r="R230" s="13" t="s">
        <v>45</v>
      </c>
      <c r="S230" s="13">
        <v>1</v>
      </c>
      <c r="T230" s="13" t="s">
        <v>34</v>
      </c>
      <c r="U230" s="13" t="s">
        <v>97</v>
      </c>
      <c r="V230" s="13">
        <v>10</v>
      </c>
      <c r="W230" s="13" t="s">
        <v>250</v>
      </c>
    </row>
    <row r="231" spans="1:23" ht="18.95" customHeight="1">
      <c r="A231" s="7">
        <v>230</v>
      </c>
      <c r="B231" s="8">
        <v>1996</v>
      </c>
      <c r="C231" s="20" t="s">
        <v>351</v>
      </c>
      <c r="D231" s="10" t="s">
        <v>86</v>
      </c>
      <c r="E231" s="10" t="s">
        <v>87</v>
      </c>
      <c r="F231" s="10" t="s">
        <v>57</v>
      </c>
      <c r="G231" s="10" t="s">
        <v>103</v>
      </c>
      <c r="H231" s="10" t="s">
        <v>18</v>
      </c>
      <c r="I231" s="10" t="s">
        <v>162</v>
      </c>
      <c r="J231" s="10">
        <v>7</v>
      </c>
      <c r="K231" s="10" t="s">
        <v>93</v>
      </c>
      <c r="L231" s="10">
        <v>7</v>
      </c>
      <c r="M231" s="10">
        <v>10</v>
      </c>
      <c r="N231" s="10">
        <v>8</v>
      </c>
      <c r="O231" s="10" t="s">
        <v>21</v>
      </c>
      <c r="P231" s="10">
        <v>4</v>
      </c>
      <c r="Q231" s="10" t="s">
        <v>59</v>
      </c>
      <c r="R231" s="10" t="s">
        <v>45</v>
      </c>
      <c r="S231" s="10">
        <v>7</v>
      </c>
      <c r="T231" s="10" t="s">
        <v>25</v>
      </c>
      <c r="U231" s="10" t="s">
        <v>140</v>
      </c>
      <c r="V231" s="10">
        <v>8</v>
      </c>
      <c r="W231" s="10" t="s">
        <v>293</v>
      </c>
    </row>
    <row r="232" spans="1:23" ht="18.95" customHeight="1">
      <c r="A232" s="7">
        <v>231</v>
      </c>
      <c r="B232" s="12">
        <v>1996</v>
      </c>
      <c r="C232" s="20" t="s">
        <v>351</v>
      </c>
      <c r="D232" s="13" t="s">
        <v>95</v>
      </c>
      <c r="E232" s="13" t="s">
        <v>42</v>
      </c>
      <c r="F232" s="13" t="s">
        <v>57</v>
      </c>
      <c r="G232" s="13" t="s">
        <v>17</v>
      </c>
      <c r="H232" s="13" t="s">
        <v>18</v>
      </c>
      <c r="I232" s="13" t="s">
        <v>49</v>
      </c>
      <c r="J232" s="13">
        <v>2</v>
      </c>
      <c r="K232" s="13" t="s">
        <v>20</v>
      </c>
      <c r="L232" s="13">
        <v>10</v>
      </c>
      <c r="M232" s="13">
        <v>10</v>
      </c>
      <c r="N232" s="13">
        <v>10</v>
      </c>
      <c r="O232" s="13" t="s">
        <v>21</v>
      </c>
      <c r="P232" s="13">
        <v>5</v>
      </c>
      <c r="Q232" s="13" t="s">
        <v>22</v>
      </c>
      <c r="R232" s="13" t="s">
        <v>23</v>
      </c>
      <c r="S232" s="13">
        <v>10</v>
      </c>
      <c r="T232" s="13" t="s">
        <v>53</v>
      </c>
      <c r="U232" s="13" t="s">
        <v>54</v>
      </c>
      <c r="V232" s="13">
        <v>10</v>
      </c>
      <c r="W232" s="13" t="s">
        <v>186</v>
      </c>
    </row>
    <row r="233" spans="1:23" ht="18.95" customHeight="1">
      <c r="A233" s="7">
        <v>232</v>
      </c>
      <c r="B233" s="8">
        <v>1996</v>
      </c>
      <c r="C233" s="20" t="s">
        <v>351</v>
      </c>
      <c r="D233" s="10" t="s">
        <v>141</v>
      </c>
      <c r="E233" s="10" t="s">
        <v>87</v>
      </c>
      <c r="F233" s="10" t="s">
        <v>57</v>
      </c>
      <c r="G233" s="10" t="s">
        <v>17</v>
      </c>
      <c r="H233" s="10" t="s">
        <v>18</v>
      </c>
      <c r="I233" s="10" t="s">
        <v>84</v>
      </c>
      <c r="J233" s="10">
        <v>9</v>
      </c>
      <c r="K233" s="10" t="s">
        <v>20</v>
      </c>
      <c r="L233" s="10">
        <v>7</v>
      </c>
      <c r="M233" s="10">
        <v>10</v>
      </c>
      <c r="N233" s="10">
        <v>7</v>
      </c>
      <c r="O233" s="10" t="s">
        <v>312</v>
      </c>
      <c r="P233" s="10">
        <v>8</v>
      </c>
      <c r="Q233" s="10" t="s">
        <v>22</v>
      </c>
      <c r="R233" s="10" t="s">
        <v>33</v>
      </c>
      <c r="S233" s="10">
        <v>10</v>
      </c>
      <c r="T233" s="10" t="s">
        <v>34</v>
      </c>
      <c r="U233" s="10" t="s">
        <v>97</v>
      </c>
      <c r="V233" s="10">
        <v>8</v>
      </c>
      <c r="W233" s="10" t="s">
        <v>354</v>
      </c>
    </row>
    <row r="234" spans="1:23" ht="18.95" customHeight="1">
      <c r="A234" s="7">
        <v>233</v>
      </c>
      <c r="B234" s="12">
        <v>1996</v>
      </c>
      <c r="C234" s="20" t="s">
        <v>351</v>
      </c>
      <c r="D234" s="13" t="s">
        <v>83</v>
      </c>
      <c r="E234" s="13" t="s">
        <v>36</v>
      </c>
      <c r="F234" s="13" t="s">
        <v>16</v>
      </c>
      <c r="G234" s="13" t="s">
        <v>103</v>
      </c>
      <c r="H234" s="13" t="s">
        <v>48</v>
      </c>
      <c r="I234" s="13" t="s">
        <v>31</v>
      </c>
      <c r="J234" s="13">
        <v>3</v>
      </c>
      <c r="K234" s="13" t="s">
        <v>32</v>
      </c>
      <c r="L234" s="13">
        <v>5</v>
      </c>
      <c r="M234" s="13">
        <v>8</v>
      </c>
      <c r="N234" s="13">
        <v>8</v>
      </c>
      <c r="O234" s="13" t="s">
        <v>21</v>
      </c>
      <c r="P234" s="13">
        <v>7</v>
      </c>
      <c r="Q234" s="13" t="s">
        <v>64</v>
      </c>
      <c r="R234" s="13" t="s">
        <v>410</v>
      </c>
      <c r="S234" s="13">
        <v>5</v>
      </c>
      <c r="T234" s="13" t="s">
        <v>25</v>
      </c>
      <c r="U234" s="13" t="s">
        <v>62</v>
      </c>
      <c r="V234" s="13">
        <v>8</v>
      </c>
      <c r="W234" s="13" t="s">
        <v>411</v>
      </c>
    </row>
    <row r="235" spans="1:23" ht="18.95" customHeight="1">
      <c r="A235" s="7">
        <v>234</v>
      </c>
      <c r="B235" s="8">
        <v>1996</v>
      </c>
      <c r="C235" s="20" t="s">
        <v>351</v>
      </c>
      <c r="D235" s="10" t="s">
        <v>41</v>
      </c>
      <c r="E235" s="10" t="s">
        <v>42</v>
      </c>
      <c r="F235" s="10" t="s">
        <v>57</v>
      </c>
      <c r="G235" s="10" t="s">
        <v>47</v>
      </c>
      <c r="H235" s="10" t="s">
        <v>18</v>
      </c>
      <c r="I235" s="10" t="s">
        <v>108</v>
      </c>
      <c r="J235" s="10">
        <v>8</v>
      </c>
      <c r="K235" s="10" t="s">
        <v>20</v>
      </c>
      <c r="L235" s="10">
        <v>8</v>
      </c>
      <c r="M235" s="10">
        <v>2</v>
      </c>
      <c r="N235" s="10">
        <v>9</v>
      </c>
      <c r="O235" s="10" t="s">
        <v>21</v>
      </c>
      <c r="P235" s="10">
        <v>4</v>
      </c>
      <c r="Q235" s="10" t="s">
        <v>44</v>
      </c>
      <c r="R235" s="10" t="s">
        <v>45</v>
      </c>
      <c r="S235" s="10">
        <v>10</v>
      </c>
      <c r="T235" s="10" t="s">
        <v>73</v>
      </c>
      <c r="U235" s="10" t="s">
        <v>26</v>
      </c>
      <c r="V235" s="10">
        <v>10</v>
      </c>
      <c r="W235" s="10" t="s">
        <v>361</v>
      </c>
    </row>
    <row r="236" spans="1:23" ht="18.95" customHeight="1">
      <c r="A236" s="7">
        <v>235</v>
      </c>
      <c r="B236" s="12">
        <v>1996</v>
      </c>
      <c r="C236" s="20" t="s">
        <v>351</v>
      </c>
      <c r="D236" s="13" t="s">
        <v>206</v>
      </c>
      <c r="E236" s="13" t="s">
        <v>87</v>
      </c>
      <c r="F236" s="13" t="s">
        <v>57</v>
      </c>
      <c r="G236" s="13" t="s">
        <v>17</v>
      </c>
      <c r="H236" s="13" t="s">
        <v>18</v>
      </c>
      <c r="I236" s="13" t="s">
        <v>76</v>
      </c>
      <c r="J236" s="13">
        <v>7</v>
      </c>
      <c r="K236" s="13" t="s">
        <v>85</v>
      </c>
      <c r="L236" s="13">
        <v>10</v>
      </c>
      <c r="M236" s="13">
        <v>1</v>
      </c>
      <c r="N236" s="13">
        <v>10</v>
      </c>
      <c r="O236" s="13" t="s">
        <v>21</v>
      </c>
      <c r="P236" s="13">
        <v>5</v>
      </c>
      <c r="Q236" s="13" t="s">
        <v>125</v>
      </c>
      <c r="R236" s="13" t="s">
        <v>234</v>
      </c>
      <c r="S236" s="13">
        <v>5</v>
      </c>
      <c r="T236" s="13" t="s">
        <v>153</v>
      </c>
      <c r="U236" s="13" t="s">
        <v>26</v>
      </c>
      <c r="V236" s="13">
        <v>10</v>
      </c>
      <c r="W236" s="13" t="s">
        <v>374</v>
      </c>
    </row>
    <row r="237" spans="1:23" ht="18.95" customHeight="1">
      <c r="A237" s="7">
        <v>236</v>
      </c>
      <c r="B237" s="8">
        <v>1996</v>
      </c>
      <c r="C237" s="20" t="s">
        <v>351</v>
      </c>
      <c r="D237" s="10" t="s">
        <v>86</v>
      </c>
      <c r="E237" s="10" t="s">
        <v>87</v>
      </c>
      <c r="F237" s="10" t="s">
        <v>57</v>
      </c>
      <c r="G237" s="10" t="s">
        <v>47</v>
      </c>
      <c r="H237" s="10" t="s">
        <v>18</v>
      </c>
      <c r="I237" s="10" t="s">
        <v>19</v>
      </c>
      <c r="J237" s="10">
        <v>8</v>
      </c>
      <c r="K237" s="10" t="s">
        <v>32</v>
      </c>
      <c r="L237" s="10">
        <v>10</v>
      </c>
      <c r="M237" s="10">
        <v>1</v>
      </c>
      <c r="N237" s="10">
        <v>3</v>
      </c>
      <c r="O237" s="10" t="s">
        <v>21</v>
      </c>
      <c r="P237" s="10">
        <v>1</v>
      </c>
      <c r="Q237" s="10" t="s">
        <v>22</v>
      </c>
      <c r="R237" s="10" t="s">
        <v>23</v>
      </c>
      <c r="S237" s="10">
        <v>5</v>
      </c>
      <c r="T237" s="10" t="s">
        <v>34</v>
      </c>
      <c r="U237" s="10" t="s">
        <v>54</v>
      </c>
      <c r="V237" s="10">
        <v>9</v>
      </c>
      <c r="W237" s="10" t="s">
        <v>412</v>
      </c>
    </row>
    <row r="238" spans="1:23" ht="18.95" customHeight="1">
      <c r="A238" s="7">
        <v>237</v>
      </c>
      <c r="B238" s="12">
        <v>1996</v>
      </c>
      <c r="C238" s="20" t="s">
        <v>351</v>
      </c>
      <c r="D238" s="13" t="s">
        <v>114</v>
      </c>
      <c r="E238" s="13" t="s">
        <v>56</v>
      </c>
      <c r="F238" s="13" t="s">
        <v>57</v>
      </c>
      <c r="G238" s="13" t="s">
        <v>17</v>
      </c>
      <c r="H238" s="13" t="s">
        <v>18</v>
      </c>
      <c r="I238" s="13" t="s">
        <v>365</v>
      </c>
      <c r="J238" s="13">
        <v>8</v>
      </c>
      <c r="K238" s="13" t="s">
        <v>93</v>
      </c>
      <c r="L238" s="13">
        <v>1</v>
      </c>
      <c r="M238" s="13">
        <v>10</v>
      </c>
      <c r="N238" s="13">
        <v>5</v>
      </c>
      <c r="O238" s="13" t="s">
        <v>312</v>
      </c>
      <c r="P238" s="13">
        <v>10</v>
      </c>
      <c r="Q238" s="13" t="s">
        <v>59</v>
      </c>
      <c r="R238" s="13" t="s">
        <v>29</v>
      </c>
      <c r="S238" s="13">
        <v>10</v>
      </c>
      <c r="T238" s="13" t="s">
        <v>53</v>
      </c>
      <c r="U238" s="13" t="s">
        <v>97</v>
      </c>
      <c r="V238" s="13">
        <v>8</v>
      </c>
      <c r="W238" s="13" t="s">
        <v>346</v>
      </c>
    </row>
    <row r="239" spans="1:23" ht="18.95" customHeight="1">
      <c r="A239" s="7">
        <v>238</v>
      </c>
      <c r="B239" s="8">
        <v>1996</v>
      </c>
      <c r="C239" s="20" t="s">
        <v>351</v>
      </c>
      <c r="D239" s="10" t="s">
        <v>30</v>
      </c>
      <c r="E239" s="10" t="s">
        <v>15</v>
      </c>
      <c r="F239" s="10" t="s">
        <v>57</v>
      </c>
      <c r="G239" s="10" t="s">
        <v>47</v>
      </c>
      <c r="H239" s="10" t="s">
        <v>18</v>
      </c>
      <c r="I239" s="10" t="s">
        <v>413</v>
      </c>
      <c r="J239" s="10">
        <v>9</v>
      </c>
      <c r="K239" s="10" t="s">
        <v>20</v>
      </c>
      <c r="L239" s="10">
        <v>10</v>
      </c>
      <c r="M239" s="10">
        <v>10</v>
      </c>
      <c r="N239" s="10">
        <v>10</v>
      </c>
      <c r="O239" s="10" t="s">
        <v>21</v>
      </c>
      <c r="P239" s="10">
        <v>8</v>
      </c>
      <c r="Q239" s="10" t="s">
        <v>22</v>
      </c>
      <c r="R239" s="10" t="s">
        <v>45</v>
      </c>
      <c r="S239" s="10">
        <v>10</v>
      </c>
      <c r="T239" s="10" t="s">
        <v>34</v>
      </c>
      <c r="U239" s="10" t="s">
        <v>54</v>
      </c>
      <c r="V239" s="10">
        <v>10</v>
      </c>
      <c r="W239" s="10" t="s">
        <v>186</v>
      </c>
    </row>
    <row r="240" spans="1:23" ht="18.95" customHeight="1">
      <c r="A240" s="7">
        <v>239</v>
      </c>
      <c r="B240" s="12">
        <v>1996</v>
      </c>
      <c r="C240" s="20" t="s">
        <v>351</v>
      </c>
      <c r="D240" s="13" t="s">
        <v>102</v>
      </c>
      <c r="E240" s="13" t="s">
        <v>36</v>
      </c>
      <c r="F240" s="13" t="s">
        <v>16</v>
      </c>
      <c r="G240" s="13" t="s">
        <v>17</v>
      </c>
      <c r="H240" s="13" t="s">
        <v>48</v>
      </c>
      <c r="I240" s="13" t="s">
        <v>170</v>
      </c>
      <c r="J240" s="13">
        <v>5</v>
      </c>
      <c r="K240" s="13" t="s">
        <v>32</v>
      </c>
      <c r="L240" s="13">
        <v>7</v>
      </c>
      <c r="M240" s="13">
        <v>8</v>
      </c>
      <c r="N240" s="13">
        <v>7</v>
      </c>
      <c r="O240" s="13" t="s">
        <v>21</v>
      </c>
      <c r="P240" s="13">
        <v>1</v>
      </c>
      <c r="Q240" s="13" t="s">
        <v>125</v>
      </c>
      <c r="R240" s="13" t="s">
        <v>414</v>
      </c>
      <c r="S240" s="13">
        <v>6</v>
      </c>
      <c r="T240" s="13" t="s">
        <v>153</v>
      </c>
      <c r="U240" s="13" t="s">
        <v>80</v>
      </c>
      <c r="V240" s="13">
        <v>8</v>
      </c>
      <c r="W240" s="13" t="s">
        <v>415</v>
      </c>
    </row>
    <row r="241" spans="1:23" ht="18.95" customHeight="1">
      <c r="A241" s="7">
        <v>240</v>
      </c>
      <c r="B241" s="8">
        <v>1996</v>
      </c>
      <c r="C241" s="20" t="s">
        <v>351</v>
      </c>
      <c r="D241" s="10" t="s">
        <v>203</v>
      </c>
      <c r="E241" s="10" t="s">
        <v>75</v>
      </c>
      <c r="F241" s="10" t="s">
        <v>57</v>
      </c>
      <c r="G241" s="10" t="s">
        <v>103</v>
      </c>
      <c r="H241" s="10" t="s">
        <v>18</v>
      </c>
      <c r="I241" s="10" t="s">
        <v>31</v>
      </c>
      <c r="J241" s="10">
        <v>6</v>
      </c>
      <c r="K241" s="10" t="s">
        <v>20</v>
      </c>
      <c r="L241" s="10">
        <v>6</v>
      </c>
      <c r="M241" s="10">
        <v>10</v>
      </c>
      <c r="N241" s="10">
        <v>10</v>
      </c>
      <c r="O241" s="10" t="s">
        <v>43</v>
      </c>
      <c r="P241" s="10">
        <v>5</v>
      </c>
      <c r="Q241" s="10" t="s">
        <v>22</v>
      </c>
      <c r="R241" s="10" t="s">
        <v>29</v>
      </c>
      <c r="S241" s="10">
        <v>10</v>
      </c>
      <c r="T241" s="10" t="s">
        <v>34</v>
      </c>
      <c r="U241" s="10" t="s">
        <v>54</v>
      </c>
      <c r="V241" s="10">
        <v>10</v>
      </c>
      <c r="W241" s="10" t="s">
        <v>370</v>
      </c>
    </row>
    <row r="242" spans="1:23" ht="18.95" customHeight="1">
      <c r="A242" s="7">
        <v>241</v>
      </c>
      <c r="B242" s="12">
        <v>1996</v>
      </c>
      <c r="C242" s="20" t="s">
        <v>351</v>
      </c>
      <c r="D242" s="13" t="s">
        <v>82</v>
      </c>
      <c r="E242" s="13" t="s">
        <v>75</v>
      </c>
      <c r="F242" s="13" t="s">
        <v>57</v>
      </c>
      <c r="G242" s="13" t="s">
        <v>17</v>
      </c>
      <c r="H242" s="13" t="s">
        <v>18</v>
      </c>
      <c r="I242" s="13" t="s">
        <v>170</v>
      </c>
      <c r="J242" s="13">
        <v>5</v>
      </c>
      <c r="K242" s="13" t="s">
        <v>85</v>
      </c>
      <c r="L242" s="13">
        <v>5</v>
      </c>
      <c r="M242" s="13">
        <v>7</v>
      </c>
      <c r="N242" s="13">
        <v>4</v>
      </c>
      <c r="O242" s="13" t="s">
        <v>21</v>
      </c>
      <c r="P242" s="13">
        <v>5</v>
      </c>
      <c r="Q242" s="13" t="s">
        <v>59</v>
      </c>
      <c r="R242" s="13" t="s">
        <v>33</v>
      </c>
      <c r="S242" s="13">
        <v>3</v>
      </c>
      <c r="T242" s="13" t="s">
        <v>34</v>
      </c>
      <c r="U242" s="13" t="s">
        <v>97</v>
      </c>
      <c r="V242" s="13">
        <v>9</v>
      </c>
      <c r="W242" s="13" t="s">
        <v>323</v>
      </c>
    </row>
    <row r="243" spans="1:23" ht="18.95" customHeight="1">
      <c r="A243" s="7">
        <v>242</v>
      </c>
      <c r="B243" s="8">
        <v>1996</v>
      </c>
      <c r="C243" s="20" t="s">
        <v>351</v>
      </c>
      <c r="D243" s="10" t="s">
        <v>246</v>
      </c>
      <c r="E243" s="10" t="s">
        <v>75</v>
      </c>
      <c r="F243" s="10" t="s">
        <v>16</v>
      </c>
      <c r="G243" s="10" t="s">
        <v>17</v>
      </c>
      <c r="H243" s="10" t="s">
        <v>48</v>
      </c>
      <c r="I243" s="10" t="s">
        <v>170</v>
      </c>
      <c r="J243" s="10">
        <v>7</v>
      </c>
      <c r="K243" s="10" t="s">
        <v>20</v>
      </c>
      <c r="L243" s="10">
        <v>7</v>
      </c>
      <c r="M243" s="10">
        <v>7</v>
      </c>
      <c r="N243" s="10">
        <v>8</v>
      </c>
      <c r="O243" s="10" t="s">
        <v>21</v>
      </c>
      <c r="P243" s="10">
        <v>5</v>
      </c>
      <c r="Q243" s="10" t="s">
        <v>64</v>
      </c>
      <c r="R243" s="10" t="s">
        <v>416</v>
      </c>
      <c r="S243" s="10">
        <v>1</v>
      </c>
      <c r="T243" s="10" t="s">
        <v>34</v>
      </c>
      <c r="U243" s="10" t="s">
        <v>62</v>
      </c>
      <c r="V243" s="10">
        <v>5</v>
      </c>
      <c r="W243" s="10" t="s">
        <v>417</v>
      </c>
    </row>
    <row r="244" spans="1:23" ht="18.95" customHeight="1">
      <c r="A244" s="7">
        <v>243</v>
      </c>
      <c r="B244" s="12">
        <v>1996</v>
      </c>
      <c r="C244" s="20" t="s">
        <v>351</v>
      </c>
      <c r="D244" s="13" t="s">
        <v>203</v>
      </c>
      <c r="E244" s="13" t="s">
        <v>75</v>
      </c>
      <c r="F244" s="13" t="s">
        <v>57</v>
      </c>
      <c r="G244" s="13" t="s">
        <v>103</v>
      </c>
      <c r="H244" s="13" t="s">
        <v>18</v>
      </c>
      <c r="I244" s="13" t="s">
        <v>81</v>
      </c>
      <c r="J244" s="13">
        <v>1</v>
      </c>
      <c r="K244" s="13" t="s">
        <v>20</v>
      </c>
      <c r="L244" s="13">
        <v>10</v>
      </c>
      <c r="M244" s="13">
        <v>10</v>
      </c>
      <c r="N244" s="13">
        <v>10</v>
      </c>
      <c r="O244" s="13" t="s">
        <v>21</v>
      </c>
      <c r="P244" s="13">
        <v>10</v>
      </c>
      <c r="Q244" s="13" t="s">
        <v>22</v>
      </c>
      <c r="R244" s="13" t="s">
        <v>33</v>
      </c>
      <c r="S244" s="13">
        <v>10</v>
      </c>
      <c r="T244" s="13" t="s">
        <v>153</v>
      </c>
      <c r="U244" s="13" t="s">
        <v>26</v>
      </c>
      <c r="V244" s="13">
        <v>10</v>
      </c>
      <c r="W244" s="13" t="s">
        <v>418</v>
      </c>
    </row>
    <row r="245" spans="1:23" ht="18.95" customHeight="1">
      <c r="A245" s="7">
        <v>244</v>
      </c>
      <c r="B245" s="8">
        <v>1996</v>
      </c>
      <c r="C245" s="20" t="s">
        <v>351</v>
      </c>
      <c r="D245" s="10" t="s">
        <v>102</v>
      </c>
      <c r="E245" s="10" t="s">
        <v>36</v>
      </c>
      <c r="F245" s="10" t="s">
        <v>57</v>
      </c>
      <c r="G245" s="10" t="s">
        <v>103</v>
      </c>
      <c r="H245" s="10" t="s">
        <v>18</v>
      </c>
      <c r="I245" s="10" t="s">
        <v>389</v>
      </c>
      <c r="J245" s="10">
        <v>8</v>
      </c>
      <c r="K245" s="10" t="s">
        <v>20</v>
      </c>
      <c r="L245" s="10">
        <v>5</v>
      </c>
      <c r="M245" s="10">
        <v>10</v>
      </c>
      <c r="N245" s="10">
        <v>5</v>
      </c>
      <c r="O245" s="10" t="s">
        <v>21</v>
      </c>
      <c r="P245" s="10">
        <v>8</v>
      </c>
      <c r="Q245" s="10" t="s">
        <v>59</v>
      </c>
      <c r="R245" s="10" t="s">
        <v>33</v>
      </c>
      <c r="S245" s="10">
        <v>5</v>
      </c>
      <c r="T245" s="10" t="s">
        <v>34</v>
      </c>
      <c r="U245" s="10" t="s">
        <v>80</v>
      </c>
      <c r="V245" s="10">
        <v>8</v>
      </c>
      <c r="W245" s="10" t="s">
        <v>419</v>
      </c>
    </row>
    <row r="246" spans="1:23" ht="18.95" customHeight="1">
      <c r="A246" s="7">
        <v>245</v>
      </c>
      <c r="B246" s="12">
        <v>1996</v>
      </c>
      <c r="C246" s="20" t="s">
        <v>351</v>
      </c>
      <c r="D246" s="13" t="s">
        <v>137</v>
      </c>
      <c r="E246" s="13" t="s">
        <v>42</v>
      </c>
      <c r="F246" s="13" t="s">
        <v>57</v>
      </c>
      <c r="G246" s="13" t="s">
        <v>103</v>
      </c>
      <c r="H246" s="13" t="s">
        <v>18</v>
      </c>
      <c r="I246" s="13" t="s">
        <v>170</v>
      </c>
      <c r="J246" s="13">
        <v>8</v>
      </c>
      <c r="K246" s="13" t="s">
        <v>93</v>
      </c>
      <c r="L246" s="13">
        <v>8</v>
      </c>
      <c r="M246" s="13">
        <v>10</v>
      </c>
      <c r="N246" s="13">
        <v>7</v>
      </c>
      <c r="O246" s="13" t="s">
        <v>43</v>
      </c>
      <c r="P246" s="13">
        <v>8</v>
      </c>
      <c r="Q246" s="13" t="s">
        <v>59</v>
      </c>
      <c r="R246" s="13" t="s">
        <v>33</v>
      </c>
      <c r="S246" s="13">
        <v>8</v>
      </c>
      <c r="T246" s="13" t="s">
        <v>153</v>
      </c>
      <c r="U246" s="13" t="s">
        <v>97</v>
      </c>
      <c r="V246" s="13">
        <v>8</v>
      </c>
      <c r="W246" s="13" t="s">
        <v>369</v>
      </c>
    </row>
    <row r="247" spans="1:23" ht="18.95" customHeight="1">
      <c r="A247" s="7">
        <v>246</v>
      </c>
      <c r="B247" s="8">
        <v>1997</v>
      </c>
      <c r="C247" s="20" t="s">
        <v>351</v>
      </c>
      <c r="D247" s="10" t="s">
        <v>195</v>
      </c>
      <c r="E247" s="10" t="s">
        <v>56</v>
      </c>
      <c r="F247" s="10" t="s">
        <v>57</v>
      </c>
      <c r="G247" s="10" t="s">
        <v>17</v>
      </c>
      <c r="H247" s="10" t="s">
        <v>18</v>
      </c>
      <c r="I247" s="10" t="s">
        <v>76</v>
      </c>
      <c r="J247" s="10">
        <v>3</v>
      </c>
      <c r="K247" s="10" t="s">
        <v>85</v>
      </c>
      <c r="L247" s="10">
        <v>3</v>
      </c>
      <c r="M247" s="10">
        <v>5</v>
      </c>
      <c r="N247" s="10">
        <v>6</v>
      </c>
      <c r="O247" s="10" t="s">
        <v>21</v>
      </c>
      <c r="P247" s="10">
        <v>7</v>
      </c>
      <c r="Q247" s="10" t="s">
        <v>59</v>
      </c>
      <c r="R247" s="10" t="s">
        <v>385</v>
      </c>
      <c r="S247" s="10">
        <v>10</v>
      </c>
      <c r="T247" s="10" t="s">
        <v>34</v>
      </c>
      <c r="U247" s="10" t="s">
        <v>140</v>
      </c>
      <c r="V247" s="10">
        <v>8</v>
      </c>
      <c r="W247" s="11" t="s">
        <v>187</v>
      </c>
    </row>
    <row r="248" spans="1:23" ht="18.95" customHeight="1">
      <c r="A248" s="7">
        <v>247</v>
      </c>
      <c r="B248" s="12">
        <v>1997</v>
      </c>
      <c r="C248" s="20" t="s">
        <v>351</v>
      </c>
      <c r="D248" s="13" t="s">
        <v>246</v>
      </c>
      <c r="E248" s="13" t="s">
        <v>75</v>
      </c>
      <c r="F248" s="13" t="s">
        <v>16</v>
      </c>
      <c r="G248" s="13" t="s">
        <v>103</v>
      </c>
      <c r="H248" s="13" t="s">
        <v>18</v>
      </c>
      <c r="I248" s="13" t="s">
        <v>305</v>
      </c>
      <c r="J248" s="13">
        <v>8</v>
      </c>
      <c r="K248" s="13" t="s">
        <v>20</v>
      </c>
      <c r="L248" s="13">
        <v>10</v>
      </c>
      <c r="M248" s="13">
        <v>5</v>
      </c>
      <c r="N248" s="13">
        <v>8</v>
      </c>
      <c r="O248" s="13" t="s">
        <v>21</v>
      </c>
      <c r="P248" s="13">
        <v>5</v>
      </c>
      <c r="Q248" s="13" t="s">
        <v>37</v>
      </c>
      <c r="R248" s="13" t="s">
        <v>33</v>
      </c>
      <c r="S248" s="13">
        <v>5</v>
      </c>
      <c r="T248" s="13" t="s">
        <v>34</v>
      </c>
      <c r="U248" s="13" t="s">
        <v>68</v>
      </c>
      <c r="V248" s="13">
        <v>7</v>
      </c>
      <c r="W248" s="14" t="s">
        <v>298</v>
      </c>
    </row>
    <row r="249" spans="1:23" ht="18.95" customHeight="1">
      <c r="A249" s="7">
        <v>248</v>
      </c>
      <c r="B249" s="8">
        <v>1997</v>
      </c>
      <c r="C249" s="20" t="s">
        <v>351</v>
      </c>
      <c r="D249" s="10" t="s">
        <v>46</v>
      </c>
      <c r="E249" s="10" t="s">
        <v>36</v>
      </c>
      <c r="F249" s="10" t="s">
        <v>16</v>
      </c>
      <c r="G249" s="10" t="s">
        <v>17</v>
      </c>
      <c r="H249" s="10" t="s">
        <v>18</v>
      </c>
      <c r="I249" s="10" t="s">
        <v>108</v>
      </c>
      <c r="J249" s="10">
        <v>4</v>
      </c>
      <c r="K249" s="10" t="s">
        <v>93</v>
      </c>
      <c r="L249" s="10">
        <v>7</v>
      </c>
      <c r="M249" s="10">
        <v>5</v>
      </c>
      <c r="N249" s="10">
        <v>7</v>
      </c>
      <c r="O249" s="10" t="s">
        <v>21</v>
      </c>
      <c r="P249" s="10">
        <v>5</v>
      </c>
      <c r="Q249" s="10" t="s">
        <v>22</v>
      </c>
      <c r="R249" s="10" t="s">
        <v>420</v>
      </c>
      <c r="S249" s="10">
        <v>10</v>
      </c>
      <c r="T249" s="10" t="s">
        <v>34</v>
      </c>
      <c r="U249" s="10" t="s">
        <v>68</v>
      </c>
      <c r="V249" s="10">
        <v>7</v>
      </c>
      <c r="W249" s="11" t="s">
        <v>250</v>
      </c>
    </row>
    <row r="250" spans="1:23" ht="18.95" customHeight="1">
      <c r="A250" s="7">
        <v>249</v>
      </c>
      <c r="B250" s="12">
        <v>1997</v>
      </c>
      <c r="C250" s="20" t="s">
        <v>351</v>
      </c>
      <c r="D250" s="13" t="s">
        <v>46</v>
      </c>
      <c r="E250" s="13" t="s">
        <v>36</v>
      </c>
      <c r="F250" s="13" t="s">
        <v>57</v>
      </c>
      <c r="G250" s="13" t="s">
        <v>17</v>
      </c>
      <c r="H250" s="13" t="s">
        <v>48</v>
      </c>
      <c r="I250" s="13" t="s">
        <v>76</v>
      </c>
      <c r="J250" s="13">
        <v>5</v>
      </c>
      <c r="K250" s="13" t="s">
        <v>20</v>
      </c>
      <c r="L250" s="13">
        <v>10</v>
      </c>
      <c r="M250" s="13">
        <v>1</v>
      </c>
      <c r="N250" s="13">
        <v>1</v>
      </c>
      <c r="O250" s="13" t="s">
        <v>21</v>
      </c>
      <c r="P250" s="13">
        <v>10</v>
      </c>
      <c r="Q250" s="13" t="s">
        <v>59</v>
      </c>
      <c r="R250" s="13" t="s">
        <v>112</v>
      </c>
      <c r="S250" s="13">
        <v>4</v>
      </c>
      <c r="T250" s="13" t="s">
        <v>34</v>
      </c>
      <c r="U250" s="13" t="s">
        <v>26</v>
      </c>
      <c r="V250" s="13">
        <v>7</v>
      </c>
      <c r="W250" s="14" t="s">
        <v>352</v>
      </c>
    </row>
    <row r="251" spans="1:23" ht="18.95" customHeight="1">
      <c r="A251" s="7">
        <v>250</v>
      </c>
      <c r="B251" s="8">
        <v>1997</v>
      </c>
      <c r="C251" s="20" t="s">
        <v>351</v>
      </c>
      <c r="D251" s="10" t="s">
        <v>89</v>
      </c>
      <c r="E251" s="10" t="s">
        <v>90</v>
      </c>
      <c r="F251" s="10" t="s">
        <v>16</v>
      </c>
      <c r="G251" s="10" t="s">
        <v>103</v>
      </c>
      <c r="H251" s="10" t="s">
        <v>18</v>
      </c>
      <c r="I251" s="10" t="s">
        <v>170</v>
      </c>
      <c r="J251" s="10">
        <v>7</v>
      </c>
      <c r="K251" s="10" t="s">
        <v>85</v>
      </c>
      <c r="L251" s="10">
        <v>8</v>
      </c>
      <c r="M251" s="10">
        <v>8</v>
      </c>
      <c r="N251" s="10">
        <v>8</v>
      </c>
      <c r="O251" s="10" t="s">
        <v>21</v>
      </c>
      <c r="P251" s="10">
        <v>7</v>
      </c>
      <c r="Q251" s="10" t="s">
        <v>22</v>
      </c>
      <c r="R251" s="10" t="s">
        <v>33</v>
      </c>
      <c r="S251" s="10">
        <v>5</v>
      </c>
      <c r="T251" s="10" t="s">
        <v>34</v>
      </c>
      <c r="U251" s="10" t="s">
        <v>26</v>
      </c>
      <c r="V251" s="10">
        <v>9</v>
      </c>
      <c r="W251" s="11" t="s">
        <v>345</v>
      </c>
    </row>
    <row r="252" spans="1:23" ht="18.95" customHeight="1">
      <c r="A252" s="7">
        <v>251</v>
      </c>
      <c r="B252" s="12">
        <v>1997</v>
      </c>
      <c r="C252" s="20" t="s">
        <v>351</v>
      </c>
      <c r="D252" s="13" t="s">
        <v>326</v>
      </c>
      <c r="E252" s="13" t="s">
        <v>42</v>
      </c>
      <c r="F252" s="13" t="s">
        <v>57</v>
      </c>
      <c r="G252" s="13" t="s">
        <v>103</v>
      </c>
      <c r="H252" s="13" t="s">
        <v>18</v>
      </c>
      <c r="I252" s="13" t="s">
        <v>170</v>
      </c>
      <c r="J252" s="13">
        <v>8</v>
      </c>
      <c r="K252" s="13" t="s">
        <v>93</v>
      </c>
      <c r="L252" s="13">
        <v>8</v>
      </c>
      <c r="M252" s="13">
        <v>10</v>
      </c>
      <c r="N252" s="13">
        <v>9</v>
      </c>
      <c r="O252" s="13" t="s">
        <v>43</v>
      </c>
      <c r="P252" s="13">
        <v>8</v>
      </c>
      <c r="Q252" s="13" t="s">
        <v>116</v>
      </c>
      <c r="R252" s="13" t="s">
        <v>33</v>
      </c>
      <c r="S252" s="13">
        <v>8</v>
      </c>
      <c r="T252" s="13" t="s">
        <v>73</v>
      </c>
      <c r="U252" s="13" t="s">
        <v>68</v>
      </c>
      <c r="V252" s="13">
        <v>5</v>
      </c>
      <c r="W252" s="14" t="s">
        <v>421</v>
      </c>
    </row>
    <row r="253" spans="1:23" ht="18.95" customHeight="1">
      <c r="A253" s="7">
        <v>252</v>
      </c>
      <c r="B253" s="8">
        <v>1997</v>
      </c>
      <c r="C253" s="20" t="s">
        <v>351</v>
      </c>
      <c r="D253" s="10" t="s">
        <v>30</v>
      </c>
      <c r="E253" s="10" t="s">
        <v>15</v>
      </c>
      <c r="F253" s="10" t="s">
        <v>57</v>
      </c>
      <c r="G253" s="10" t="s">
        <v>17</v>
      </c>
      <c r="H253" s="10" t="s">
        <v>18</v>
      </c>
      <c r="I253" s="10" t="s">
        <v>170</v>
      </c>
      <c r="J253" s="10">
        <v>8</v>
      </c>
      <c r="K253" s="10" t="s">
        <v>85</v>
      </c>
      <c r="L253" s="10">
        <v>8</v>
      </c>
      <c r="M253" s="10">
        <v>10</v>
      </c>
      <c r="N253" s="10">
        <v>7</v>
      </c>
      <c r="O253" s="10" t="s">
        <v>94</v>
      </c>
      <c r="P253" s="10">
        <v>10</v>
      </c>
      <c r="Q253" s="10" t="s">
        <v>44</v>
      </c>
      <c r="R253" s="10" t="s">
        <v>33</v>
      </c>
      <c r="S253" s="10">
        <v>6</v>
      </c>
      <c r="T253" s="10" t="s">
        <v>73</v>
      </c>
      <c r="U253" s="10" t="s">
        <v>97</v>
      </c>
      <c r="V253" s="10">
        <v>6</v>
      </c>
      <c r="W253" s="11" t="s">
        <v>207</v>
      </c>
    </row>
    <row r="254" spans="1:23" ht="18.95" customHeight="1">
      <c r="A254" s="7">
        <v>253</v>
      </c>
      <c r="B254" s="12">
        <v>1997</v>
      </c>
      <c r="C254" s="20" t="s">
        <v>351</v>
      </c>
      <c r="D254" s="13" t="s">
        <v>89</v>
      </c>
      <c r="E254" s="13" t="s">
        <v>90</v>
      </c>
      <c r="F254" s="13" t="s">
        <v>57</v>
      </c>
      <c r="G254" s="13" t="s">
        <v>47</v>
      </c>
      <c r="H254" s="13" t="s">
        <v>18</v>
      </c>
      <c r="I254" s="13" t="s">
        <v>19</v>
      </c>
      <c r="J254" s="13">
        <v>10</v>
      </c>
      <c r="K254" s="13" t="s">
        <v>50</v>
      </c>
      <c r="L254" s="13">
        <v>8</v>
      </c>
      <c r="M254" s="13">
        <v>10</v>
      </c>
      <c r="N254" s="13">
        <v>5</v>
      </c>
      <c r="O254" s="13" t="s">
        <v>94</v>
      </c>
      <c r="P254" s="13">
        <v>10</v>
      </c>
      <c r="Q254" s="13" t="s">
        <v>285</v>
      </c>
      <c r="R254" s="13" t="s">
        <v>45</v>
      </c>
      <c r="S254" s="13">
        <v>10</v>
      </c>
      <c r="T254" s="13" t="s">
        <v>111</v>
      </c>
      <c r="U254" s="13" t="s">
        <v>54</v>
      </c>
      <c r="V254" s="13">
        <v>10</v>
      </c>
      <c r="W254" s="13" t="s">
        <v>355</v>
      </c>
    </row>
    <row r="255" spans="1:23" ht="18.95" customHeight="1">
      <c r="A255" s="7">
        <v>254</v>
      </c>
      <c r="B255" s="8">
        <v>1997</v>
      </c>
      <c r="C255" s="20" t="s">
        <v>351</v>
      </c>
      <c r="D255" s="10" t="s">
        <v>46</v>
      </c>
      <c r="E255" s="10" t="s">
        <v>36</v>
      </c>
      <c r="F255" s="10" t="s">
        <v>57</v>
      </c>
      <c r="G255" s="10" t="s">
        <v>17</v>
      </c>
      <c r="H255" s="10" t="s">
        <v>18</v>
      </c>
      <c r="I255" s="10" t="s">
        <v>307</v>
      </c>
      <c r="J255" s="10">
        <v>10</v>
      </c>
      <c r="K255" s="10" t="s">
        <v>50</v>
      </c>
      <c r="L255" s="10">
        <v>10</v>
      </c>
      <c r="M255" s="10">
        <v>10</v>
      </c>
      <c r="N255" s="10">
        <v>7</v>
      </c>
      <c r="O255" s="10" t="s">
        <v>94</v>
      </c>
      <c r="P255" s="10">
        <v>8</v>
      </c>
      <c r="Q255" s="10" t="s">
        <v>59</v>
      </c>
      <c r="R255" s="10" t="s">
        <v>29</v>
      </c>
      <c r="S255" s="10">
        <v>8</v>
      </c>
      <c r="T255" s="10" t="s">
        <v>34</v>
      </c>
      <c r="U255" s="10" t="s">
        <v>68</v>
      </c>
      <c r="V255" s="10">
        <v>7</v>
      </c>
      <c r="W255" s="10" t="s">
        <v>361</v>
      </c>
    </row>
    <row r="256" spans="1:23" ht="18.95" customHeight="1">
      <c r="A256" s="7">
        <v>255</v>
      </c>
      <c r="B256" s="12">
        <v>1997</v>
      </c>
      <c r="C256" s="20" t="s">
        <v>351</v>
      </c>
      <c r="D256" s="13" t="s">
        <v>119</v>
      </c>
      <c r="E256" s="13" t="s">
        <v>75</v>
      </c>
      <c r="F256" s="13" t="s">
        <v>57</v>
      </c>
      <c r="G256" s="13" t="s">
        <v>17</v>
      </c>
      <c r="H256" s="13" t="s">
        <v>18</v>
      </c>
      <c r="I256" s="13" t="s">
        <v>81</v>
      </c>
      <c r="J256" s="13">
        <v>9</v>
      </c>
      <c r="K256" s="13" t="s">
        <v>20</v>
      </c>
      <c r="L256" s="13">
        <v>8</v>
      </c>
      <c r="M256" s="13">
        <v>8</v>
      </c>
      <c r="N256" s="13">
        <v>8</v>
      </c>
      <c r="O256" s="13" t="s">
        <v>43</v>
      </c>
      <c r="P256" s="13">
        <v>8</v>
      </c>
      <c r="Q256" s="13" t="s">
        <v>37</v>
      </c>
      <c r="R256" s="13" t="s">
        <v>224</v>
      </c>
      <c r="S256" s="13">
        <v>5</v>
      </c>
      <c r="T256" s="13" t="s">
        <v>34</v>
      </c>
      <c r="U256" s="13" t="s">
        <v>97</v>
      </c>
      <c r="V256" s="13">
        <v>7</v>
      </c>
      <c r="W256" s="13" t="s">
        <v>207</v>
      </c>
    </row>
    <row r="257" spans="1:23" ht="18.95" customHeight="1">
      <c r="A257" s="7">
        <v>256</v>
      </c>
      <c r="B257" s="8">
        <v>1997</v>
      </c>
      <c r="C257" s="20" t="s">
        <v>351</v>
      </c>
      <c r="D257" s="10" t="s">
        <v>83</v>
      </c>
      <c r="E257" s="10" t="s">
        <v>36</v>
      </c>
      <c r="F257" s="10" t="s">
        <v>57</v>
      </c>
      <c r="G257" s="10" t="s">
        <v>103</v>
      </c>
      <c r="H257" s="10" t="s">
        <v>18</v>
      </c>
      <c r="I257" s="10" t="s">
        <v>162</v>
      </c>
      <c r="J257" s="10">
        <v>8</v>
      </c>
      <c r="K257" s="10" t="s">
        <v>20</v>
      </c>
      <c r="L257" s="10">
        <v>8</v>
      </c>
      <c r="M257" s="10">
        <v>3</v>
      </c>
      <c r="N257" s="10">
        <v>5</v>
      </c>
      <c r="O257" s="10" t="s">
        <v>21</v>
      </c>
      <c r="P257" s="10">
        <v>9</v>
      </c>
      <c r="Q257" s="10" t="s">
        <v>22</v>
      </c>
      <c r="R257" s="10" t="s">
        <v>33</v>
      </c>
      <c r="S257" s="10">
        <v>10</v>
      </c>
      <c r="T257" s="10" t="s">
        <v>34</v>
      </c>
      <c r="U257" s="10" t="s">
        <v>97</v>
      </c>
      <c r="V257" s="10">
        <v>8</v>
      </c>
      <c r="W257" s="10" t="s">
        <v>342</v>
      </c>
    </row>
    <row r="258" spans="1:23" ht="18.95" customHeight="1">
      <c r="A258" s="7">
        <v>257</v>
      </c>
      <c r="B258" s="12">
        <v>1997</v>
      </c>
      <c r="C258" s="20" t="s">
        <v>351</v>
      </c>
      <c r="D258" s="13" t="s">
        <v>222</v>
      </c>
      <c r="E258" s="13" t="s">
        <v>56</v>
      </c>
      <c r="F258" s="13" t="s">
        <v>16</v>
      </c>
      <c r="G258" s="13" t="s">
        <v>17</v>
      </c>
      <c r="H258" s="13" t="s">
        <v>18</v>
      </c>
      <c r="I258" s="13" t="s">
        <v>170</v>
      </c>
      <c r="J258" s="13">
        <v>9</v>
      </c>
      <c r="K258" s="13" t="s">
        <v>93</v>
      </c>
      <c r="L258" s="13">
        <v>5</v>
      </c>
      <c r="M258" s="13">
        <v>9</v>
      </c>
      <c r="N258" s="13">
        <v>5</v>
      </c>
      <c r="O258" s="13" t="s">
        <v>43</v>
      </c>
      <c r="P258" s="13">
        <v>10</v>
      </c>
      <c r="Q258" s="13" t="s">
        <v>59</v>
      </c>
      <c r="R258" s="13" t="s">
        <v>45</v>
      </c>
      <c r="S258" s="13">
        <v>9</v>
      </c>
      <c r="T258" s="13" t="s">
        <v>25</v>
      </c>
      <c r="U258" s="13" t="s">
        <v>68</v>
      </c>
      <c r="V258" s="13">
        <v>3</v>
      </c>
      <c r="W258" s="13" t="s">
        <v>378</v>
      </c>
    </row>
    <row r="259" spans="1:23" ht="18.95" customHeight="1">
      <c r="A259" s="7">
        <v>258</v>
      </c>
      <c r="B259" s="8">
        <v>1997</v>
      </c>
      <c r="C259" s="20" t="s">
        <v>351</v>
      </c>
      <c r="D259" s="10" t="s">
        <v>217</v>
      </c>
      <c r="E259" s="10" t="s">
        <v>56</v>
      </c>
      <c r="F259" s="10" t="s">
        <v>57</v>
      </c>
      <c r="G259" s="10" t="s">
        <v>17</v>
      </c>
      <c r="H259" s="10" t="s">
        <v>18</v>
      </c>
      <c r="I259" s="10" t="s">
        <v>170</v>
      </c>
      <c r="J259" s="10">
        <v>10</v>
      </c>
      <c r="K259" s="10" t="s">
        <v>93</v>
      </c>
      <c r="L259" s="10">
        <v>9</v>
      </c>
      <c r="M259" s="10">
        <v>10</v>
      </c>
      <c r="N259" s="10">
        <v>7</v>
      </c>
      <c r="O259" s="10" t="s">
        <v>21</v>
      </c>
      <c r="P259" s="10">
        <v>10</v>
      </c>
      <c r="Q259" s="10" t="s">
        <v>59</v>
      </c>
      <c r="R259" s="10" t="s">
        <v>45</v>
      </c>
      <c r="S259" s="10">
        <v>10</v>
      </c>
      <c r="T259" s="10" t="s">
        <v>34</v>
      </c>
      <c r="U259" s="10" t="s">
        <v>97</v>
      </c>
      <c r="V259" s="10">
        <v>9</v>
      </c>
      <c r="W259" s="10" t="s">
        <v>422</v>
      </c>
    </row>
    <row r="260" spans="1:23" ht="18.95" customHeight="1">
      <c r="A260" s="7">
        <v>259</v>
      </c>
      <c r="B260" s="12">
        <v>1997</v>
      </c>
      <c r="C260" s="20" t="s">
        <v>351</v>
      </c>
      <c r="D260" s="13" t="s">
        <v>83</v>
      </c>
      <c r="E260" s="13" t="s">
        <v>36</v>
      </c>
      <c r="F260" s="13" t="s">
        <v>16</v>
      </c>
      <c r="G260" s="13" t="s">
        <v>103</v>
      </c>
      <c r="H260" s="13" t="s">
        <v>18</v>
      </c>
      <c r="I260" s="13" t="s">
        <v>170</v>
      </c>
      <c r="J260" s="13">
        <v>8</v>
      </c>
      <c r="K260" s="13" t="s">
        <v>93</v>
      </c>
      <c r="L260" s="13">
        <v>7</v>
      </c>
      <c r="M260" s="13">
        <v>10</v>
      </c>
      <c r="N260" s="13">
        <v>8</v>
      </c>
      <c r="O260" s="13" t="s">
        <v>21</v>
      </c>
      <c r="P260" s="13">
        <v>9</v>
      </c>
      <c r="Q260" s="13" t="s">
        <v>423</v>
      </c>
      <c r="R260" s="13" t="s">
        <v>144</v>
      </c>
      <c r="S260" s="13">
        <v>9</v>
      </c>
      <c r="T260" s="13" t="s">
        <v>309</v>
      </c>
      <c r="U260" s="13" t="s">
        <v>62</v>
      </c>
      <c r="V260" s="13">
        <v>7</v>
      </c>
      <c r="W260" s="13" t="s">
        <v>207</v>
      </c>
    </row>
    <row r="261" spans="1:23" ht="18.95" customHeight="1">
      <c r="A261" s="7">
        <v>260</v>
      </c>
      <c r="B261" s="8">
        <v>1997</v>
      </c>
      <c r="C261" s="20" t="s">
        <v>351</v>
      </c>
      <c r="D261" s="10" t="s">
        <v>141</v>
      </c>
      <c r="E261" s="10" t="s">
        <v>87</v>
      </c>
      <c r="F261" s="10" t="s">
        <v>16</v>
      </c>
      <c r="G261" s="10" t="s">
        <v>17</v>
      </c>
      <c r="H261" s="10" t="s">
        <v>18</v>
      </c>
      <c r="I261" s="10" t="s">
        <v>108</v>
      </c>
      <c r="J261" s="10">
        <v>6</v>
      </c>
      <c r="K261" s="10" t="s">
        <v>93</v>
      </c>
      <c r="L261" s="10">
        <v>9</v>
      </c>
      <c r="M261" s="10">
        <v>10</v>
      </c>
      <c r="N261" s="10">
        <v>10</v>
      </c>
      <c r="O261" s="10" t="s">
        <v>21</v>
      </c>
      <c r="P261" s="10">
        <v>7</v>
      </c>
      <c r="Q261" s="10" t="s">
        <v>22</v>
      </c>
      <c r="R261" s="10" t="s">
        <v>299</v>
      </c>
      <c r="S261" s="10">
        <v>3</v>
      </c>
      <c r="T261" s="10" t="s">
        <v>34</v>
      </c>
      <c r="U261" s="10" t="s">
        <v>26</v>
      </c>
      <c r="V261" s="10">
        <v>8</v>
      </c>
      <c r="W261" s="10" t="s">
        <v>186</v>
      </c>
    </row>
    <row r="262" spans="1:23" ht="18.95" customHeight="1">
      <c r="A262" s="7">
        <v>261</v>
      </c>
      <c r="B262" s="8">
        <v>2020</v>
      </c>
      <c r="C262" s="23" t="s">
        <v>432</v>
      </c>
      <c r="D262" s="10" t="s">
        <v>98</v>
      </c>
      <c r="E262" s="10" t="s">
        <v>15</v>
      </c>
      <c r="F262" s="10" t="s">
        <v>57</v>
      </c>
      <c r="G262" s="10" t="s">
        <v>17</v>
      </c>
      <c r="H262" s="10" t="s">
        <v>18</v>
      </c>
      <c r="I262" s="10" t="s">
        <v>49</v>
      </c>
      <c r="J262" s="10">
        <v>8</v>
      </c>
      <c r="K262" s="10" t="s">
        <v>85</v>
      </c>
      <c r="L262" s="10">
        <v>6</v>
      </c>
      <c r="M262" s="10">
        <v>5</v>
      </c>
      <c r="N262" s="10">
        <v>8</v>
      </c>
      <c r="O262" s="10" t="s">
        <v>94</v>
      </c>
      <c r="P262" s="10">
        <v>8</v>
      </c>
      <c r="Q262" s="10" t="s">
        <v>22</v>
      </c>
      <c r="R262" s="10" t="s">
        <v>112</v>
      </c>
      <c r="S262" s="10">
        <v>10</v>
      </c>
      <c r="T262" s="10" t="s">
        <v>311</v>
      </c>
      <c r="U262" s="10" t="s">
        <v>26</v>
      </c>
      <c r="V262" s="10">
        <v>9</v>
      </c>
      <c r="W262" s="11" t="s">
        <v>435</v>
      </c>
    </row>
    <row r="263" spans="1:23" ht="18.95" customHeight="1">
      <c r="A263" s="7">
        <v>262</v>
      </c>
      <c r="B263" s="12">
        <v>2020</v>
      </c>
      <c r="C263" s="23" t="s">
        <v>432</v>
      </c>
      <c r="D263" s="13" t="s">
        <v>98</v>
      </c>
      <c r="E263" s="13" t="s">
        <v>15</v>
      </c>
      <c r="F263" s="13" t="s">
        <v>57</v>
      </c>
      <c r="G263" s="13" t="s">
        <v>17</v>
      </c>
      <c r="H263" s="13" t="s">
        <v>18</v>
      </c>
      <c r="I263" s="13" t="s">
        <v>49</v>
      </c>
      <c r="J263" s="13">
        <v>10</v>
      </c>
      <c r="K263" s="13" t="s">
        <v>20</v>
      </c>
      <c r="L263" s="13">
        <v>7</v>
      </c>
      <c r="M263" s="13">
        <v>1</v>
      </c>
      <c r="N263" s="13">
        <v>2</v>
      </c>
      <c r="O263" s="13" t="s">
        <v>94</v>
      </c>
      <c r="P263" s="13">
        <v>10</v>
      </c>
      <c r="Q263" s="13" t="s">
        <v>59</v>
      </c>
      <c r="R263" s="13" t="s">
        <v>45</v>
      </c>
      <c r="S263" s="13">
        <v>7</v>
      </c>
      <c r="T263" s="13" t="s">
        <v>302</v>
      </c>
      <c r="U263" s="13" t="s">
        <v>80</v>
      </c>
      <c r="V263" s="13">
        <v>4</v>
      </c>
      <c r="W263" s="14" t="s">
        <v>355</v>
      </c>
    </row>
    <row r="264" spans="1:23" ht="18.95" customHeight="1">
      <c r="A264" s="7">
        <v>263</v>
      </c>
      <c r="B264" s="8">
        <v>2020</v>
      </c>
      <c r="C264" s="23" t="s">
        <v>432</v>
      </c>
      <c r="D264" s="10" t="s">
        <v>195</v>
      </c>
      <c r="E264" s="10" t="s">
        <v>56</v>
      </c>
      <c r="F264" s="10" t="s">
        <v>16</v>
      </c>
      <c r="G264" s="10" t="s">
        <v>17</v>
      </c>
      <c r="H264" s="10" t="s">
        <v>18</v>
      </c>
      <c r="I264" s="10" t="s">
        <v>307</v>
      </c>
      <c r="J264" s="10">
        <v>8</v>
      </c>
      <c r="K264" s="10" t="s">
        <v>93</v>
      </c>
      <c r="L264" s="10">
        <v>6</v>
      </c>
      <c r="M264" s="10">
        <v>10</v>
      </c>
      <c r="N264" s="10">
        <v>5</v>
      </c>
      <c r="O264" s="10" t="s">
        <v>21</v>
      </c>
      <c r="P264" s="10">
        <v>9</v>
      </c>
      <c r="Q264" s="10" t="s">
        <v>37</v>
      </c>
      <c r="R264" s="10" t="s">
        <v>117</v>
      </c>
      <c r="S264" s="10">
        <v>2</v>
      </c>
      <c r="T264" s="10" t="s">
        <v>53</v>
      </c>
      <c r="U264" s="10" t="s">
        <v>140</v>
      </c>
      <c r="V264" s="10">
        <v>9</v>
      </c>
      <c r="W264" s="11" t="s">
        <v>377</v>
      </c>
    </row>
    <row r="265" spans="1:23" ht="18.95" customHeight="1">
      <c r="A265" s="7">
        <v>264</v>
      </c>
      <c r="B265" s="12">
        <v>2020</v>
      </c>
      <c r="C265" s="23" t="s">
        <v>432</v>
      </c>
      <c r="D265" s="13" t="s">
        <v>195</v>
      </c>
      <c r="E265" s="13" t="s">
        <v>56</v>
      </c>
      <c r="F265" s="13" t="s">
        <v>57</v>
      </c>
      <c r="G265" s="13" t="s">
        <v>17</v>
      </c>
      <c r="H265" s="13" t="s">
        <v>18</v>
      </c>
      <c r="I265" s="13" t="s">
        <v>170</v>
      </c>
      <c r="J265" s="13">
        <v>9</v>
      </c>
      <c r="K265" s="13" t="s">
        <v>85</v>
      </c>
      <c r="L265" s="13">
        <v>8</v>
      </c>
      <c r="M265" s="13">
        <v>6</v>
      </c>
      <c r="N265" s="13">
        <v>6</v>
      </c>
      <c r="O265" s="13" t="s">
        <v>94</v>
      </c>
      <c r="P265" s="13">
        <v>10</v>
      </c>
      <c r="Q265" s="13" t="s">
        <v>22</v>
      </c>
      <c r="R265" s="13" t="s">
        <v>51</v>
      </c>
      <c r="S265" s="13">
        <v>9</v>
      </c>
      <c r="T265" s="13" t="s">
        <v>251</v>
      </c>
      <c r="U265" s="13" t="s">
        <v>26</v>
      </c>
      <c r="V265" s="13">
        <v>8</v>
      </c>
      <c r="W265" s="14" t="s">
        <v>315</v>
      </c>
    </row>
    <row r="266" spans="1:23" ht="18.95" customHeight="1">
      <c r="A266" s="7">
        <v>265</v>
      </c>
      <c r="B266" s="8">
        <v>2020</v>
      </c>
      <c r="C266" s="23" t="s">
        <v>432</v>
      </c>
      <c r="D266" s="10" t="s">
        <v>86</v>
      </c>
      <c r="E266" s="10" t="s">
        <v>87</v>
      </c>
      <c r="F266" s="10" t="s">
        <v>57</v>
      </c>
      <c r="G266" s="10" t="s">
        <v>17</v>
      </c>
      <c r="H266" s="10" t="s">
        <v>18</v>
      </c>
      <c r="I266" s="10" t="s">
        <v>170</v>
      </c>
      <c r="J266" s="10">
        <v>10</v>
      </c>
      <c r="K266" s="10" t="s">
        <v>20</v>
      </c>
      <c r="L266" s="10">
        <v>5</v>
      </c>
      <c r="M266" s="10">
        <v>9</v>
      </c>
      <c r="N266" s="10">
        <v>4</v>
      </c>
      <c r="O266" s="10" t="s">
        <v>312</v>
      </c>
      <c r="P266" s="10">
        <v>10</v>
      </c>
      <c r="Q266" s="10" t="s">
        <v>59</v>
      </c>
      <c r="R266" s="10" t="s">
        <v>45</v>
      </c>
      <c r="S266" s="10">
        <v>8</v>
      </c>
      <c r="T266" s="10" t="s">
        <v>34</v>
      </c>
      <c r="U266" s="10" t="s">
        <v>54</v>
      </c>
      <c r="V266" s="10">
        <v>9</v>
      </c>
      <c r="W266" s="10" t="s">
        <v>292</v>
      </c>
    </row>
    <row r="267" spans="1:23" ht="18.95" customHeight="1">
      <c r="A267" s="7">
        <v>266</v>
      </c>
      <c r="B267" s="17">
        <v>2020</v>
      </c>
      <c r="C267" s="23" t="s">
        <v>432</v>
      </c>
      <c r="D267" s="18" t="s">
        <v>30</v>
      </c>
      <c r="E267" s="10" t="s">
        <v>15</v>
      </c>
      <c r="F267" s="18" t="s">
        <v>57</v>
      </c>
      <c r="G267" s="10" t="s">
        <v>17</v>
      </c>
      <c r="H267" s="18" t="s">
        <v>18</v>
      </c>
      <c r="I267" s="18" t="s">
        <v>305</v>
      </c>
      <c r="J267" s="18">
        <v>9</v>
      </c>
      <c r="K267" s="10" t="s">
        <v>93</v>
      </c>
      <c r="L267" s="18">
        <v>6</v>
      </c>
      <c r="M267" s="18">
        <v>10</v>
      </c>
      <c r="N267" s="18">
        <v>9</v>
      </c>
      <c r="O267" s="18" t="s">
        <v>43</v>
      </c>
      <c r="P267" s="18">
        <v>10</v>
      </c>
      <c r="Q267" s="18" t="s">
        <v>22</v>
      </c>
      <c r="R267" s="18" t="s">
        <v>33</v>
      </c>
      <c r="S267" s="18">
        <v>8</v>
      </c>
      <c r="T267" s="18" t="s">
        <v>153</v>
      </c>
      <c r="U267" s="18" t="s">
        <v>26</v>
      </c>
      <c r="V267" s="18">
        <v>9</v>
      </c>
      <c r="W267" s="18" t="s">
        <v>361</v>
      </c>
    </row>
    <row r="268" spans="1:23" ht="18.95" customHeight="1">
      <c r="A268" s="7">
        <v>267</v>
      </c>
      <c r="B268" s="17">
        <v>2020</v>
      </c>
      <c r="C268" s="23" t="s">
        <v>432</v>
      </c>
      <c r="D268" s="18" t="s">
        <v>46</v>
      </c>
      <c r="E268" s="10" t="s">
        <v>36</v>
      </c>
      <c r="F268" s="18" t="s">
        <v>57</v>
      </c>
      <c r="G268" s="10" t="s">
        <v>47</v>
      </c>
      <c r="H268" s="18" t="s">
        <v>18</v>
      </c>
      <c r="I268" s="18" t="s">
        <v>208</v>
      </c>
      <c r="J268" s="18">
        <v>6</v>
      </c>
      <c r="K268" s="10" t="s">
        <v>93</v>
      </c>
      <c r="L268" s="18">
        <v>5</v>
      </c>
      <c r="M268" s="18">
        <v>10</v>
      </c>
      <c r="N268" s="18">
        <v>8</v>
      </c>
      <c r="O268" s="18" t="s">
        <v>94</v>
      </c>
      <c r="P268" s="18">
        <v>8</v>
      </c>
      <c r="Q268" s="18" t="s">
        <v>22</v>
      </c>
      <c r="R268" s="18" t="s">
        <v>45</v>
      </c>
      <c r="S268" s="18">
        <v>10</v>
      </c>
      <c r="T268" s="18" t="s">
        <v>25</v>
      </c>
      <c r="U268" s="18" t="s">
        <v>140</v>
      </c>
      <c r="V268" s="18">
        <v>8</v>
      </c>
      <c r="W268" s="18" t="s">
        <v>357</v>
      </c>
    </row>
    <row r="269" spans="1:23" ht="18.95" customHeight="1">
      <c r="A269" s="7">
        <v>268</v>
      </c>
      <c r="B269" s="17">
        <v>2020</v>
      </c>
      <c r="C269" s="23" t="s">
        <v>432</v>
      </c>
      <c r="D269" s="18" t="s">
        <v>133</v>
      </c>
      <c r="E269" s="10" t="s">
        <v>15</v>
      </c>
      <c r="F269" s="18" t="s">
        <v>16</v>
      </c>
      <c r="G269" s="10" t="s">
        <v>17</v>
      </c>
      <c r="H269" s="18" t="s">
        <v>18</v>
      </c>
      <c r="I269" s="18" t="s">
        <v>170</v>
      </c>
      <c r="J269" s="18">
        <v>4</v>
      </c>
      <c r="K269" s="10" t="s">
        <v>32</v>
      </c>
      <c r="L269" s="18">
        <v>8</v>
      </c>
      <c r="M269" s="18">
        <v>5</v>
      </c>
      <c r="N269" s="18">
        <v>7</v>
      </c>
      <c r="O269" s="18" t="s">
        <v>21</v>
      </c>
      <c r="P269" s="18">
        <v>7</v>
      </c>
      <c r="Q269" s="18" t="s">
        <v>22</v>
      </c>
      <c r="R269" s="18" t="s">
        <v>51</v>
      </c>
      <c r="S269" s="18">
        <v>8</v>
      </c>
      <c r="T269" s="18" t="s">
        <v>34</v>
      </c>
      <c r="U269" s="18" t="s">
        <v>26</v>
      </c>
      <c r="V269" s="18">
        <v>9</v>
      </c>
      <c r="W269" s="18" t="s">
        <v>317</v>
      </c>
    </row>
    <row r="270" spans="1:23" ht="18.95" customHeight="1">
      <c r="A270" s="7">
        <v>269</v>
      </c>
      <c r="B270" s="15">
        <v>2020</v>
      </c>
      <c r="C270" s="23" t="s">
        <v>432</v>
      </c>
      <c r="D270" s="16" t="s">
        <v>195</v>
      </c>
      <c r="E270" s="13" t="s">
        <v>56</v>
      </c>
      <c r="F270" s="16" t="s">
        <v>57</v>
      </c>
      <c r="G270" s="13" t="s">
        <v>103</v>
      </c>
      <c r="H270" s="16" t="s">
        <v>18</v>
      </c>
      <c r="I270" s="16" t="s">
        <v>170</v>
      </c>
      <c r="J270" s="16">
        <v>7</v>
      </c>
      <c r="K270" s="13" t="s">
        <v>20</v>
      </c>
      <c r="L270" s="16">
        <v>8</v>
      </c>
      <c r="M270" s="16">
        <v>8</v>
      </c>
      <c r="N270" s="16">
        <v>5</v>
      </c>
      <c r="O270" s="16" t="s">
        <v>21</v>
      </c>
      <c r="P270" s="16">
        <v>10</v>
      </c>
      <c r="Q270" s="16" t="s">
        <v>285</v>
      </c>
      <c r="R270" s="16" t="s">
        <v>33</v>
      </c>
      <c r="S270" s="16">
        <v>8</v>
      </c>
      <c r="T270" s="16" t="s">
        <v>34</v>
      </c>
      <c r="U270" s="16" t="s">
        <v>80</v>
      </c>
      <c r="V270" s="16">
        <v>8</v>
      </c>
      <c r="W270" s="16" t="s">
        <v>472</v>
      </c>
    </row>
    <row r="271" spans="1:23" ht="18.95" customHeight="1">
      <c r="A271" s="7">
        <v>270</v>
      </c>
      <c r="B271" s="17">
        <v>2020</v>
      </c>
      <c r="C271" s="23" t="s">
        <v>432</v>
      </c>
      <c r="D271" s="18" t="s">
        <v>297</v>
      </c>
      <c r="E271" s="10" t="s">
        <v>42</v>
      </c>
      <c r="F271" s="18" t="s">
        <v>57</v>
      </c>
      <c r="G271" s="10" t="s">
        <v>103</v>
      </c>
      <c r="H271" s="18" t="s">
        <v>18</v>
      </c>
      <c r="I271" s="18" t="s">
        <v>170</v>
      </c>
      <c r="J271" s="18">
        <v>7</v>
      </c>
      <c r="K271" s="10" t="s">
        <v>32</v>
      </c>
      <c r="L271" s="18">
        <v>8</v>
      </c>
      <c r="M271" s="18">
        <v>5</v>
      </c>
      <c r="N271" s="18">
        <v>8</v>
      </c>
      <c r="O271" s="18" t="s">
        <v>21</v>
      </c>
      <c r="P271" s="18">
        <v>10</v>
      </c>
      <c r="Q271" s="18" t="s">
        <v>22</v>
      </c>
      <c r="R271" s="18" t="s">
        <v>33</v>
      </c>
      <c r="S271" s="18">
        <v>9</v>
      </c>
      <c r="T271" s="18" t="s">
        <v>124</v>
      </c>
      <c r="U271" s="18" t="s">
        <v>97</v>
      </c>
      <c r="V271" s="18">
        <v>10</v>
      </c>
      <c r="W271" s="18" t="s">
        <v>316</v>
      </c>
    </row>
    <row r="272" spans="1:23" ht="18.95" customHeight="1">
      <c r="A272" s="7">
        <v>271</v>
      </c>
      <c r="B272" s="12">
        <v>2021</v>
      </c>
      <c r="C272" s="23" t="s">
        <v>432</v>
      </c>
      <c r="D272" s="13" t="s">
        <v>98</v>
      </c>
      <c r="E272" s="13" t="s">
        <v>15</v>
      </c>
      <c r="F272" s="13" t="s">
        <v>57</v>
      </c>
      <c r="G272" s="13" t="s">
        <v>17</v>
      </c>
      <c r="H272" s="13" t="s">
        <v>18</v>
      </c>
      <c r="I272" s="13" t="s">
        <v>305</v>
      </c>
      <c r="J272" s="13">
        <v>6</v>
      </c>
      <c r="K272" s="13" t="s">
        <v>85</v>
      </c>
      <c r="L272" s="13">
        <v>6</v>
      </c>
      <c r="M272" s="13">
        <v>8</v>
      </c>
      <c r="N272" s="13">
        <v>4</v>
      </c>
      <c r="O272" s="13" t="s">
        <v>21</v>
      </c>
      <c r="P272" s="13">
        <v>9</v>
      </c>
      <c r="Q272" s="13" t="s">
        <v>22</v>
      </c>
      <c r="R272" s="13" t="s">
        <v>29</v>
      </c>
      <c r="S272" s="13">
        <v>10</v>
      </c>
      <c r="T272" s="13" t="s">
        <v>34</v>
      </c>
      <c r="U272" s="13" t="s">
        <v>26</v>
      </c>
      <c r="V272" s="13">
        <v>8</v>
      </c>
      <c r="W272" s="14" t="s">
        <v>358</v>
      </c>
    </row>
    <row r="273" spans="1:23" ht="18.95" customHeight="1">
      <c r="A273" s="7">
        <v>272</v>
      </c>
      <c r="B273" s="8">
        <v>2021</v>
      </c>
      <c r="C273" s="23" t="s">
        <v>432</v>
      </c>
      <c r="D273" s="10" t="s">
        <v>98</v>
      </c>
      <c r="E273" s="10" t="s">
        <v>15</v>
      </c>
      <c r="F273" s="10" t="s">
        <v>57</v>
      </c>
      <c r="G273" s="10" t="s">
        <v>103</v>
      </c>
      <c r="H273" s="10" t="s">
        <v>18</v>
      </c>
      <c r="I273" s="10" t="s">
        <v>49</v>
      </c>
      <c r="J273" s="10">
        <v>7</v>
      </c>
      <c r="K273" s="10" t="s">
        <v>85</v>
      </c>
      <c r="L273" s="10">
        <v>5</v>
      </c>
      <c r="M273" s="10">
        <v>6</v>
      </c>
      <c r="N273" s="10">
        <v>5</v>
      </c>
      <c r="O273" s="10" t="s">
        <v>94</v>
      </c>
      <c r="P273" s="10">
        <v>10</v>
      </c>
      <c r="Q273" s="10" t="s">
        <v>59</v>
      </c>
      <c r="R273" s="10" t="s">
        <v>29</v>
      </c>
      <c r="S273" s="10">
        <v>6</v>
      </c>
      <c r="T273" s="10" t="s">
        <v>146</v>
      </c>
      <c r="U273" s="10" t="s">
        <v>68</v>
      </c>
      <c r="V273" s="10">
        <v>8</v>
      </c>
      <c r="W273" s="11" t="s">
        <v>355</v>
      </c>
    </row>
    <row r="274" spans="1:23" ht="18.95" customHeight="1">
      <c r="A274" s="7">
        <v>273</v>
      </c>
      <c r="B274" s="12">
        <v>2021</v>
      </c>
      <c r="C274" s="23" t="s">
        <v>432</v>
      </c>
      <c r="D274" s="13" t="s">
        <v>14</v>
      </c>
      <c r="E274" s="13" t="s">
        <v>15</v>
      </c>
      <c r="F274" s="13" t="s">
        <v>57</v>
      </c>
      <c r="G274" s="13" t="s">
        <v>17</v>
      </c>
      <c r="H274" s="13" t="s">
        <v>18</v>
      </c>
      <c r="I274" s="13" t="s">
        <v>49</v>
      </c>
      <c r="J274" s="13">
        <v>4</v>
      </c>
      <c r="K274" s="13" t="s">
        <v>93</v>
      </c>
      <c r="L274" s="13">
        <v>10</v>
      </c>
      <c r="M274" s="13">
        <v>9</v>
      </c>
      <c r="N274" s="13">
        <v>9</v>
      </c>
      <c r="O274" s="13" t="s">
        <v>43</v>
      </c>
      <c r="P274" s="13">
        <v>10</v>
      </c>
      <c r="Q274" s="13" t="s">
        <v>22</v>
      </c>
      <c r="R274" s="13" t="s">
        <v>436</v>
      </c>
      <c r="S274" s="13">
        <v>3</v>
      </c>
      <c r="T274" s="13" t="s">
        <v>34</v>
      </c>
      <c r="U274" s="13" t="s">
        <v>26</v>
      </c>
      <c r="V274" s="13">
        <v>7</v>
      </c>
      <c r="W274" s="14" t="s">
        <v>437</v>
      </c>
    </row>
    <row r="275" spans="1:23" ht="18.95" customHeight="1">
      <c r="A275" s="7">
        <v>274</v>
      </c>
      <c r="B275" s="8">
        <v>2021</v>
      </c>
      <c r="C275" s="23" t="s">
        <v>432</v>
      </c>
      <c r="D275" s="10" t="s">
        <v>30</v>
      </c>
      <c r="E275" s="10" t="s">
        <v>15</v>
      </c>
      <c r="F275" s="10" t="s">
        <v>57</v>
      </c>
      <c r="G275" s="10" t="s">
        <v>17</v>
      </c>
      <c r="H275" s="10" t="s">
        <v>18</v>
      </c>
      <c r="I275" s="10" t="s">
        <v>49</v>
      </c>
      <c r="J275" s="10">
        <v>1</v>
      </c>
      <c r="K275" s="10" t="s">
        <v>85</v>
      </c>
      <c r="L275" s="10">
        <v>5</v>
      </c>
      <c r="M275" s="10">
        <v>10</v>
      </c>
      <c r="N275" s="10">
        <v>8</v>
      </c>
      <c r="O275" s="10" t="s">
        <v>43</v>
      </c>
      <c r="P275" s="10">
        <v>3</v>
      </c>
      <c r="Q275" s="10" t="s">
        <v>22</v>
      </c>
      <c r="R275" s="10" t="s">
        <v>438</v>
      </c>
      <c r="S275" s="10">
        <v>5</v>
      </c>
      <c r="T275" s="10" t="s">
        <v>73</v>
      </c>
      <c r="U275" s="10" t="s">
        <v>97</v>
      </c>
      <c r="V275" s="10">
        <v>9</v>
      </c>
      <c r="W275" s="11" t="s">
        <v>207</v>
      </c>
    </row>
    <row r="276" spans="1:23" ht="18.95" customHeight="1">
      <c r="A276" s="7">
        <v>275</v>
      </c>
      <c r="B276" s="12">
        <v>2021</v>
      </c>
      <c r="C276" s="23" t="s">
        <v>432</v>
      </c>
      <c r="D276" s="13" t="s">
        <v>89</v>
      </c>
      <c r="E276" s="13" t="s">
        <v>90</v>
      </c>
      <c r="F276" s="13" t="s">
        <v>57</v>
      </c>
      <c r="G276" s="13" t="s">
        <v>17</v>
      </c>
      <c r="H276" s="13" t="s">
        <v>18</v>
      </c>
      <c r="I276" s="13" t="s">
        <v>305</v>
      </c>
      <c r="J276" s="13">
        <v>5</v>
      </c>
      <c r="K276" s="13" t="s">
        <v>20</v>
      </c>
      <c r="L276" s="13">
        <v>8</v>
      </c>
      <c r="M276" s="13">
        <v>10</v>
      </c>
      <c r="N276" s="13">
        <v>10</v>
      </c>
      <c r="O276" s="13" t="s">
        <v>43</v>
      </c>
      <c r="P276" s="13">
        <v>6</v>
      </c>
      <c r="Q276" s="13" t="s">
        <v>22</v>
      </c>
      <c r="R276" s="13" t="s">
        <v>339</v>
      </c>
      <c r="S276" s="13">
        <v>9</v>
      </c>
      <c r="T276" s="13" t="s">
        <v>73</v>
      </c>
      <c r="U276" s="13" t="s">
        <v>26</v>
      </c>
      <c r="V276" s="13">
        <v>8</v>
      </c>
      <c r="W276" s="14" t="s">
        <v>439</v>
      </c>
    </row>
    <row r="277" spans="1:23" ht="18.95" customHeight="1">
      <c r="A277" s="7">
        <v>276</v>
      </c>
      <c r="B277" s="8">
        <v>2021</v>
      </c>
      <c r="C277" s="23" t="s">
        <v>432</v>
      </c>
      <c r="D277" s="10" t="s">
        <v>306</v>
      </c>
      <c r="E277" s="10" t="s">
        <v>15</v>
      </c>
      <c r="F277" s="10" t="s">
        <v>16</v>
      </c>
      <c r="G277" s="10" t="s">
        <v>17</v>
      </c>
      <c r="H277" s="10" t="s">
        <v>18</v>
      </c>
      <c r="I277" s="10" t="s">
        <v>49</v>
      </c>
      <c r="J277" s="10">
        <v>6</v>
      </c>
      <c r="K277" s="10" t="s">
        <v>20</v>
      </c>
      <c r="L277" s="10">
        <v>8</v>
      </c>
      <c r="M277" s="10">
        <v>6</v>
      </c>
      <c r="N277" s="10">
        <v>10</v>
      </c>
      <c r="O277" s="10" t="s">
        <v>21</v>
      </c>
      <c r="P277" s="10">
        <v>6</v>
      </c>
      <c r="Q277" s="10" t="s">
        <v>22</v>
      </c>
      <c r="R277" s="10" t="s">
        <v>112</v>
      </c>
      <c r="S277" s="10">
        <v>1</v>
      </c>
      <c r="T277" s="10" t="s">
        <v>34</v>
      </c>
      <c r="U277" s="10" t="s">
        <v>97</v>
      </c>
      <c r="V277" s="10">
        <v>10</v>
      </c>
      <c r="W277" s="11" t="s">
        <v>361</v>
      </c>
    </row>
    <row r="278" spans="1:23" ht="18.95" customHeight="1">
      <c r="A278" s="7">
        <v>277</v>
      </c>
      <c r="B278" s="12">
        <v>2021</v>
      </c>
      <c r="C278" s="23" t="s">
        <v>432</v>
      </c>
      <c r="D278" s="13" t="s">
        <v>222</v>
      </c>
      <c r="E278" s="13" t="s">
        <v>56</v>
      </c>
      <c r="F278" s="13" t="s">
        <v>16</v>
      </c>
      <c r="G278" s="13" t="s">
        <v>17</v>
      </c>
      <c r="H278" s="13" t="s">
        <v>18</v>
      </c>
      <c r="I278" s="13" t="s">
        <v>81</v>
      </c>
      <c r="J278" s="13">
        <v>6</v>
      </c>
      <c r="K278" s="13" t="s">
        <v>50</v>
      </c>
      <c r="L278" s="13">
        <v>3</v>
      </c>
      <c r="M278" s="13">
        <v>9</v>
      </c>
      <c r="N278" s="13">
        <v>4</v>
      </c>
      <c r="O278" s="13" t="s">
        <v>312</v>
      </c>
      <c r="P278" s="13">
        <v>9</v>
      </c>
      <c r="Q278" s="13" t="s">
        <v>22</v>
      </c>
      <c r="R278" s="13" t="s">
        <v>33</v>
      </c>
      <c r="S278" s="13">
        <v>9</v>
      </c>
      <c r="T278" s="13" t="s">
        <v>34</v>
      </c>
      <c r="U278" s="13" t="s">
        <v>26</v>
      </c>
      <c r="V278" s="13">
        <v>9</v>
      </c>
      <c r="W278" s="14" t="s">
        <v>354</v>
      </c>
    </row>
    <row r="279" spans="1:23" ht="18.95" customHeight="1">
      <c r="A279" s="7">
        <v>278</v>
      </c>
      <c r="B279" s="8">
        <v>2021</v>
      </c>
      <c r="C279" s="23" t="s">
        <v>432</v>
      </c>
      <c r="D279" s="10" t="s">
        <v>30</v>
      </c>
      <c r="E279" s="10" t="s">
        <v>15</v>
      </c>
      <c r="F279" s="10" t="s">
        <v>16</v>
      </c>
      <c r="G279" s="10" t="s">
        <v>17</v>
      </c>
      <c r="H279" s="10" t="s">
        <v>18</v>
      </c>
      <c r="I279" s="10" t="s">
        <v>81</v>
      </c>
      <c r="J279" s="10">
        <v>6</v>
      </c>
      <c r="K279" s="10" t="s">
        <v>85</v>
      </c>
      <c r="L279" s="10">
        <v>3</v>
      </c>
      <c r="M279" s="10">
        <v>7</v>
      </c>
      <c r="N279" s="10">
        <v>5</v>
      </c>
      <c r="O279" s="10" t="s">
        <v>43</v>
      </c>
      <c r="P279" s="10">
        <v>8</v>
      </c>
      <c r="Q279" s="10" t="s">
        <v>59</v>
      </c>
      <c r="R279" s="10" t="s">
        <v>144</v>
      </c>
      <c r="S279" s="10">
        <v>2</v>
      </c>
      <c r="T279" s="10" t="s">
        <v>34</v>
      </c>
      <c r="U279" s="10" t="s">
        <v>26</v>
      </c>
      <c r="V279" s="10">
        <v>9</v>
      </c>
      <c r="W279" s="11" t="s">
        <v>355</v>
      </c>
    </row>
    <row r="280" spans="1:23" ht="18.95" customHeight="1">
      <c r="A280" s="7">
        <v>279</v>
      </c>
      <c r="B280" s="12">
        <v>2021</v>
      </c>
      <c r="C280" s="23" t="s">
        <v>432</v>
      </c>
      <c r="D280" s="13" t="s">
        <v>137</v>
      </c>
      <c r="E280" s="13" t="s">
        <v>42</v>
      </c>
      <c r="F280" s="13" t="s">
        <v>57</v>
      </c>
      <c r="G280" s="13" t="s">
        <v>17</v>
      </c>
      <c r="H280" s="13" t="s">
        <v>18</v>
      </c>
      <c r="I280" s="13" t="s">
        <v>76</v>
      </c>
      <c r="J280" s="13">
        <v>5</v>
      </c>
      <c r="K280" s="13" t="s">
        <v>20</v>
      </c>
      <c r="L280" s="13">
        <v>8</v>
      </c>
      <c r="M280" s="13">
        <v>10</v>
      </c>
      <c r="N280" s="13">
        <v>9</v>
      </c>
      <c r="O280" s="13" t="s">
        <v>43</v>
      </c>
      <c r="P280" s="13">
        <v>7</v>
      </c>
      <c r="Q280" s="13" t="s">
        <v>22</v>
      </c>
      <c r="R280" s="13" t="s">
        <v>38</v>
      </c>
      <c r="S280" s="13">
        <v>8</v>
      </c>
      <c r="T280" s="13" t="s">
        <v>276</v>
      </c>
      <c r="U280" s="13" t="s">
        <v>26</v>
      </c>
      <c r="V280" s="13">
        <v>8</v>
      </c>
      <c r="W280" s="13" t="s">
        <v>398</v>
      </c>
    </row>
    <row r="281" spans="1:23" ht="18.95" customHeight="1">
      <c r="A281" s="7">
        <v>280</v>
      </c>
      <c r="B281" s="8">
        <v>2021</v>
      </c>
      <c r="C281" s="23" t="s">
        <v>432</v>
      </c>
      <c r="D281" s="10" t="s">
        <v>27</v>
      </c>
      <c r="E281" s="10" t="s">
        <v>28</v>
      </c>
      <c r="F281" s="10" t="s">
        <v>57</v>
      </c>
      <c r="G281" s="10" t="s">
        <v>47</v>
      </c>
      <c r="H281" s="10" t="s">
        <v>18</v>
      </c>
      <c r="I281" s="10" t="s">
        <v>170</v>
      </c>
      <c r="J281" s="10">
        <v>8</v>
      </c>
      <c r="K281" s="10" t="s">
        <v>20</v>
      </c>
      <c r="L281" s="10">
        <v>8</v>
      </c>
      <c r="M281" s="10">
        <v>7</v>
      </c>
      <c r="N281" s="10">
        <v>7</v>
      </c>
      <c r="O281" s="10" t="s">
        <v>21</v>
      </c>
      <c r="P281" s="10">
        <v>10</v>
      </c>
      <c r="Q281" s="10" t="s">
        <v>364</v>
      </c>
      <c r="R281" s="10" t="s">
        <v>45</v>
      </c>
      <c r="S281" s="10">
        <v>8</v>
      </c>
      <c r="T281" s="10" t="s">
        <v>34</v>
      </c>
      <c r="U281" s="10" t="s">
        <v>54</v>
      </c>
      <c r="V281" s="10">
        <v>9</v>
      </c>
      <c r="W281" s="10" t="s">
        <v>425</v>
      </c>
    </row>
    <row r="282" spans="1:23" ht="18.95" customHeight="1">
      <c r="A282" s="7">
        <v>281</v>
      </c>
      <c r="B282" s="12">
        <v>2021</v>
      </c>
      <c r="C282" s="23" t="s">
        <v>432</v>
      </c>
      <c r="D282" s="13" t="s">
        <v>306</v>
      </c>
      <c r="E282" s="13" t="s">
        <v>15</v>
      </c>
      <c r="F282" s="13" t="s">
        <v>57</v>
      </c>
      <c r="G282" s="13" t="s">
        <v>17</v>
      </c>
      <c r="H282" s="13" t="s">
        <v>18</v>
      </c>
      <c r="I282" s="13" t="s">
        <v>307</v>
      </c>
      <c r="J282" s="13">
        <v>8</v>
      </c>
      <c r="K282" s="13" t="s">
        <v>50</v>
      </c>
      <c r="L282" s="13">
        <v>9</v>
      </c>
      <c r="M282" s="13">
        <v>10</v>
      </c>
      <c r="N282" s="13">
        <v>10</v>
      </c>
      <c r="O282" s="13" t="s">
        <v>312</v>
      </c>
      <c r="P282" s="13">
        <v>10</v>
      </c>
      <c r="Q282" s="13" t="s">
        <v>22</v>
      </c>
      <c r="R282" s="13" t="s">
        <v>45</v>
      </c>
      <c r="S282" s="13">
        <v>6</v>
      </c>
      <c r="T282" s="13" t="s">
        <v>276</v>
      </c>
      <c r="U282" s="13" t="s">
        <v>97</v>
      </c>
      <c r="V282" s="13">
        <v>8</v>
      </c>
      <c r="W282" s="13" t="s">
        <v>354</v>
      </c>
    </row>
    <row r="283" spans="1:23" ht="18.95" customHeight="1">
      <c r="A283" s="7">
        <v>282</v>
      </c>
      <c r="B283" s="8">
        <v>2021</v>
      </c>
      <c r="C283" s="23" t="s">
        <v>432</v>
      </c>
      <c r="D283" s="10" t="s">
        <v>166</v>
      </c>
      <c r="E283" s="10" t="s">
        <v>56</v>
      </c>
      <c r="F283" s="10" t="s">
        <v>57</v>
      </c>
      <c r="G283" s="10" t="s">
        <v>17</v>
      </c>
      <c r="H283" s="10" t="s">
        <v>18</v>
      </c>
      <c r="I283" s="10" t="s">
        <v>49</v>
      </c>
      <c r="J283" s="10">
        <v>5</v>
      </c>
      <c r="K283" s="10" t="s">
        <v>93</v>
      </c>
      <c r="L283" s="10">
        <v>3</v>
      </c>
      <c r="M283" s="10">
        <v>3</v>
      </c>
      <c r="N283" s="10">
        <v>5</v>
      </c>
      <c r="O283" s="10" t="s">
        <v>94</v>
      </c>
      <c r="P283" s="10">
        <v>3</v>
      </c>
      <c r="Q283" s="10" t="s">
        <v>22</v>
      </c>
      <c r="R283" s="10" t="s">
        <v>33</v>
      </c>
      <c r="S283" s="10">
        <v>9</v>
      </c>
      <c r="T283" s="10" t="s">
        <v>294</v>
      </c>
      <c r="U283" s="10" t="s">
        <v>97</v>
      </c>
      <c r="V283" s="10">
        <v>9</v>
      </c>
      <c r="W283" s="10" t="s">
        <v>428</v>
      </c>
    </row>
    <row r="284" spans="1:23" ht="18.95" customHeight="1">
      <c r="A284" s="7">
        <v>283</v>
      </c>
      <c r="B284" s="15">
        <v>2021</v>
      </c>
      <c r="C284" s="23" t="s">
        <v>432</v>
      </c>
      <c r="D284" s="16" t="s">
        <v>166</v>
      </c>
      <c r="E284" s="13" t="s">
        <v>56</v>
      </c>
      <c r="F284" s="16" t="s">
        <v>16</v>
      </c>
      <c r="G284" s="13" t="s">
        <v>103</v>
      </c>
      <c r="H284" s="16" t="s">
        <v>18</v>
      </c>
      <c r="I284" s="16" t="s">
        <v>307</v>
      </c>
      <c r="J284" s="16">
        <v>2</v>
      </c>
      <c r="K284" s="13" t="s">
        <v>50</v>
      </c>
      <c r="L284" s="16">
        <v>8</v>
      </c>
      <c r="M284" s="16">
        <v>10</v>
      </c>
      <c r="N284" s="16">
        <v>8</v>
      </c>
      <c r="O284" s="16" t="s">
        <v>94</v>
      </c>
      <c r="P284" s="16">
        <v>7</v>
      </c>
      <c r="Q284" s="16" t="s">
        <v>22</v>
      </c>
      <c r="R284" s="16" t="s">
        <v>33</v>
      </c>
      <c r="S284" s="16">
        <v>6</v>
      </c>
      <c r="T284" s="16" t="s">
        <v>34</v>
      </c>
      <c r="U284" s="16" t="s">
        <v>97</v>
      </c>
      <c r="V284" s="16">
        <v>7</v>
      </c>
      <c r="W284" s="16" t="s">
        <v>303</v>
      </c>
    </row>
    <row r="285" spans="1:23" ht="18.95" customHeight="1">
      <c r="A285" s="7">
        <v>284</v>
      </c>
      <c r="B285" s="17">
        <v>2021</v>
      </c>
      <c r="C285" s="23" t="s">
        <v>432</v>
      </c>
      <c r="D285" s="18" t="s">
        <v>89</v>
      </c>
      <c r="E285" s="10" t="s">
        <v>90</v>
      </c>
      <c r="F285" s="18" t="s">
        <v>16</v>
      </c>
      <c r="G285" s="10" t="s">
        <v>17</v>
      </c>
      <c r="H285" s="18" t="s">
        <v>18</v>
      </c>
      <c r="I285" s="18" t="s">
        <v>49</v>
      </c>
      <c r="J285" s="18">
        <v>5</v>
      </c>
      <c r="K285" s="10" t="s">
        <v>93</v>
      </c>
      <c r="L285" s="18">
        <v>5</v>
      </c>
      <c r="M285" s="18">
        <v>10</v>
      </c>
      <c r="N285" s="18">
        <v>6</v>
      </c>
      <c r="O285" s="18" t="s">
        <v>312</v>
      </c>
      <c r="P285" s="18">
        <v>7</v>
      </c>
      <c r="Q285" s="18" t="s">
        <v>22</v>
      </c>
      <c r="R285" s="18" t="s">
        <v>33</v>
      </c>
      <c r="S285" s="18">
        <v>6</v>
      </c>
      <c r="T285" s="18" t="s">
        <v>25</v>
      </c>
      <c r="U285" s="18" t="s">
        <v>80</v>
      </c>
      <c r="V285" s="18">
        <v>6</v>
      </c>
      <c r="W285" s="18" t="s">
        <v>207</v>
      </c>
    </row>
    <row r="286" spans="1:23" ht="18.95" customHeight="1">
      <c r="A286" s="7">
        <v>285</v>
      </c>
      <c r="B286" s="17">
        <v>2021</v>
      </c>
      <c r="C286" s="23" t="s">
        <v>432</v>
      </c>
      <c r="D286" s="18" t="s">
        <v>222</v>
      </c>
      <c r="E286" s="10" t="s">
        <v>56</v>
      </c>
      <c r="F286" s="18" t="s">
        <v>57</v>
      </c>
      <c r="G286" s="10" t="s">
        <v>17</v>
      </c>
      <c r="H286" s="18" t="s">
        <v>18</v>
      </c>
      <c r="I286" s="18" t="s">
        <v>49</v>
      </c>
      <c r="J286" s="18">
        <v>6</v>
      </c>
      <c r="K286" s="10" t="s">
        <v>93</v>
      </c>
      <c r="L286" s="18">
        <v>10</v>
      </c>
      <c r="M286" s="18">
        <v>10</v>
      </c>
      <c r="N286" s="18">
        <v>10</v>
      </c>
      <c r="O286" s="18" t="s">
        <v>43</v>
      </c>
      <c r="P286" s="18">
        <v>6</v>
      </c>
      <c r="Q286" s="18" t="s">
        <v>22</v>
      </c>
      <c r="R286" s="18" t="s">
        <v>469</v>
      </c>
      <c r="S286" s="18">
        <v>10</v>
      </c>
      <c r="T286" s="18" t="s">
        <v>73</v>
      </c>
      <c r="U286" s="18" t="s">
        <v>62</v>
      </c>
      <c r="V286" s="18">
        <v>8</v>
      </c>
      <c r="W286" s="18" t="s">
        <v>470</v>
      </c>
    </row>
    <row r="287" spans="1:23" ht="18.95" customHeight="1">
      <c r="A287" s="7">
        <v>286</v>
      </c>
      <c r="B287" s="15">
        <v>2021</v>
      </c>
      <c r="C287" s="23" t="s">
        <v>432</v>
      </c>
      <c r="D287" s="16" t="s">
        <v>89</v>
      </c>
      <c r="E287" s="13" t="s">
        <v>90</v>
      </c>
      <c r="F287" s="16" t="s">
        <v>57</v>
      </c>
      <c r="G287" s="13" t="s">
        <v>17</v>
      </c>
      <c r="H287" s="16" t="s">
        <v>18</v>
      </c>
      <c r="I287" s="16" t="s">
        <v>170</v>
      </c>
      <c r="J287" s="16">
        <v>7</v>
      </c>
      <c r="K287" s="13" t="s">
        <v>32</v>
      </c>
      <c r="L287" s="16">
        <v>7</v>
      </c>
      <c r="M287" s="16">
        <v>9</v>
      </c>
      <c r="N287" s="16">
        <v>8</v>
      </c>
      <c r="O287" s="16" t="s">
        <v>21</v>
      </c>
      <c r="P287" s="16">
        <v>8</v>
      </c>
      <c r="Q287" s="16" t="s">
        <v>22</v>
      </c>
      <c r="R287" s="16" t="s">
        <v>224</v>
      </c>
      <c r="S287" s="16">
        <v>8</v>
      </c>
      <c r="T287" s="16" t="s">
        <v>34</v>
      </c>
      <c r="U287" s="16" t="s">
        <v>80</v>
      </c>
      <c r="V287" s="16">
        <v>7</v>
      </c>
      <c r="W287" s="16" t="s">
        <v>471</v>
      </c>
    </row>
    <row r="288" spans="1:23" ht="18.95" customHeight="1">
      <c r="A288" s="7">
        <v>287</v>
      </c>
      <c r="B288" s="17">
        <v>2021</v>
      </c>
      <c r="C288" s="23" t="s">
        <v>432</v>
      </c>
      <c r="D288" s="18" t="s">
        <v>310</v>
      </c>
      <c r="E288" s="10" t="s">
        <v>42</v>
      </c>
      <c r="F288" s="18" t="s">
        <v>57</v>
      </c>
      <c r="G288" s="10" t="s">
        <v>17</v>
      </c>
      <c r="H288" s="18" t="s">
        <v>18</v>
      </c>
      <c r="I288" s="18" t="s">
        <v>19</v>
      </c>
      <c r="J288" s="18">
        <v>8</v>
      </c>
      <c r="K288" s="10" t="s">
        <v>85</v>
      </c>
      <c r="L288" s="18">
        <v>7</v>
      </c>
      <c r="M288" s="18">
        <v>10</v>
      </c>
      <c r="N288" s="18">
        <v>5</v>
      </c>
      <c r="O288" s="18" t="s">
        <v>43</v>
      </c>
      <c r="P288" s="18">
        <v>8</v>
      </c>
      <c r="Q288" s="18" t="s">
        <v>22</v>
      </c>
      <c r="R288" s="18" t="s">
        <v>224</v>
      </c>
      <c r="S288" s="18">
        <v>10</v>
      </c>
      <c r="T288" s="18" t="s">
        <v>146</v>
      </c>
      <c r="U288" s="18" t="s">
        <v>54</v>
      </c>
      <c r="V288" s="18">
        <v>10</v>
      </c>
      <c r="W288" s="18" t="s">
        <v>377</v>
      </c>
    </row>
    <row r="289" spans="1:23" ht="18.95" customHeight="1">
      <c r="A289" s="7">
        <v>288</v>
      </c>
      <c r="B289" s="12">
        <v>2022</v>
      </c>
      <c r="C289" s="23" t="s">
        <v>432</v>
      </c>
      <c r="D289" s="13" t="s">
        <v>98</v>
      </c>
      <c r="E289" s="13" t="s">
        <v>15</v>
      </c>
      <c r="F289" s="13" t="s">
        <v>57</v>
      </c>
      <c r="G289" s="13" t="s">
        <v>103</v>
      </c>
      <c r="H289" s="13" t="s">
        <v>18</v>
      </c>
      <c r="I289" s="13" t="s">
        <v>170</v>
      </c>
      <c r="J289" s="13">
        <v>8</v>
      </c>
      <c r="K289" s="13" t="s">
        <v>20</v>
      </c>
      <c r="L289" s="13">
        <v>5</v>
      </c>
      <c r="M289" s="13">
        <v>10</v>
      </c>
      <c r="N289" s="13">
        <v>8</v>
      </c>
      <c r="O289" s="13" t="s">
        <v>43</v>
      </c>
      <c r="P289" s="13">
        <v>10</v>
      </c>
      <c r="Q289" s="13" t="s">
        <v>22</v>
      </c>
      <c r="R289" s="13" t="s">
        <v>45</v>
      </c>
      <c r="S289" s="13">
        <v>9</v>
      </c>
      <c r="T289" s="13" t="s">
        <v>73</v>
      </c>
      <c r="U289" s="13" t="s">
        <v>26</v>
      </c>
      <c r="V289" s="13">
        <v>8</v>
      </c>
      <c r="W289" s="14" t="s">
        <v>355</v>
      </c>
    </row>
    <row r="290" spans="1:23" ht="18.95" customHeight="1">
      <c r="A290" s="7">
        <v>289</v>
      </c>
      <c r="B290" s="8">
        <v>2022</v>
      </c>
      <c r="C290" s="23" t="s">
        <v>432</v>
      </c>
      <c r="D290" s="10" t="s">
        <v>98</v>
      </c>
      <c r="E290" s="10" t="s">
        <v>15</v>
      </c>
      <c r="F290" s="10" t="s">
        <v>57</v>
      </c>
      <c r="G290" s="10" t="s">
        <v>17</v>
      </c>
      <c r="H290" s="10" t="s">
        <v>18</v>
      </c>
      <c r="I290" s="10" t="s">
        <v>307</v>
      </c>
      <c r="J290" s="10">
        <v>8</v>
      </c>
      <c r="K290" s="10" t="s">
        <v>50</v>
      </c>
      <c r="L290" s="10">
        <v>9</v>
      </c>
      <c r="M290" s="10">
        <v>9</v>
      </c>
      <c r="N290" s="10">
        <v>9</v>
      </c>
      <c r="O290" s="10" t="s">
        <v>21</v>
      </c>
      <c r="P290" s="10">
        <v>10</v>
      </c>
      <c r="Q290" s="10" t="s">
        <v>22</v>
      </c>
      <c r="R290" s="10" t="s">
        <v>112</v>
      </c>
      <c r="S290" s="10">
        <v>10</v>
      </c>
      <c r="T290" s="10" t="s">
        <v>291</v>
      </c>
      <c r="U290" s="10" t="s">
        <v>26</v>
      </c>
      <c r="V290" s="10">
        <v>10</v>
      </c>
      <c r="W290" s="11" t="s">
        <v>354</v>
      </c>
    </row>
    <row r="291" spans="1:23" ht="18.95" customHeight="1">
      <c r="A291" s="7">
        <v>290</v>
      </c>
      <c r="B291" s="12">
        <v>2022</v>
      </c>
      <c r="C291" s="23" t="s">
        <v>432</v>
      </c>
      <c r="D291" s="13" t="s">
        <v>98</v>
      </c>
      <c r="E291" s="13" t="s">
        <v>15</v>
      </c>
      <c r="F291" s="13" t="s">
        <v>57</v>
      </c>
      <c r="G291" s="13" t="s">
        <v>103</v>
      </c>
      <c r="H291" s="13" t="s">
        <v>18</v>
      </c>
      <c r="I291" s="13" t="s">
        <v>307</v>
      </c>
      <c r="J291" s="13">
        <v>7</v>
      </c>
      <c r="K291" s="13" t="s">
        <v>93</v>
      </c>
      <c r="L291" s="13">
        <v>5</v>
      </c>
      <c r="M291" s="13">
        <v>10</v>
      </c>
      <c r="N291" s="13">
        <v>6</v>
      </c>
      <c r="O291" s="13" t="s">
        <v>94</v>
      </c>
      <c r="P291" s="13">
        <v>9</v>
      </c>
      <c r="Q291" s="13" t="s">
        <v>22</v>
      </c>
      <c r="R291" s="13" t="s">
        <v>33</v>
      </c>
      <c r="S291" s="13">
        <v>9</v>
      </c>
      <c r="T291" s="13" t="s">
        <v>73</v>
      </c>
      <c r="U291" s="13" t="s">
        <v>97</v>
      </c>
      <c r="V291" s="13">
        <v>8</v>
      </c>
      <c r="W291" s="14" t="s">
        <v>441</v>
      </c>
    </row>
    <row r="292" spans="1:23" ht="18.95" customHeight="1">
      <c r="A292" s="7">
        <v>291</v>
      </c>
      <c r="B292" s="8">
        <v>2022</v>
      </c>
      <c r="C292" s="23" t="s">
        <v>432</v>
      </c>
      <c r="D292" s="10" t="s">
        <v>137</v>
      </c>
      <c r="E292" s="10" t="s">
        <v>42</v>
      </c>
      <c r="F292" s="10" t="s">
        <v>57</v>
      </c>
      <c r="G292" s="10" t="s">
        <v>17</v>
      </c>
      <c r="H292" s="10" t="s">
        <v>18</v>
      </c>
      <c r="I292" s="10" t="s">
        <v>49</v>
      </c>
      <c r="J292" s="10">
        <v>7</v>
      </c>
      <c r="K292" s="10" t="s">
        <v>32</v>
      </c>
      <c r="L292" s="10">
        <v>5</v>
      </c>
      <c r="M292" s="10">
        <v>8</v>
      </c>
      <c r="N292" s="10">
        <v>8</v>
      </c>
      <c r="O292" s="10" t="s">
        <v>312</v>
      </c>
      <c r="P292" s="10">
        <v>10</v>
      </c>
      <c r="Q292" s="10" t="s">
        <v>22</v>
      </c>
      <c r="R292" s="10" t="s">
        <v>33</v>
      </c>
      <c r="S292" s="10">
        <v>2</v>
      </c>
      <c r="T292" s="10" t="s">
        <v>34</v>
      </c>
      <c r="U292" s="10" t="s">
        <v>26</v>
      </c>
      <c r="V292" s="10">
        <v>9</v>
      </c>
      <c r="W292" s="11" t="s">
        <v>316</v>
      </c>
    </row>
    <row r="293" spans="1:23" ht="18.95" customHeight="1">
      <c r="A293" s="7">
        <v>292</v>
      </c>
      <c r="B293" s="12">
        <v>2022</v>
      </c>
      <c r="C293" s="23" t="s">
        <v>432</v>
      </c>
      <c r="D293" s="13" t="s">
        <v>89</v>
      </c>
      <c r="E293" s="13" t="s">
        <v>90</v>
      </c>
      <c r="F293" s="13" t="s">
        <v>16</v>
      </c>
      <c r="G293" s="13" t="s">
        <v>103</v>
      </c>
      <c r="H293" s="13" t="s">
        <v>18</v>
      </c>
      <c r="I293" s="13" t="s">
        <v>170</v>
      </c>
      <c r="J293" s="13">
        <v>7</v>
      </c>
      <c r="K293" s="13" t="s">
        <v>50</v>
      </c>
      <c r="L293" s="13">
        <v>1</v>
      </c>
      <c r="M293" s="13">
        <v>6</v>
      </c>
      <c r="N293" s="13">
        <v>2</v>
      </c>
      <c r="O293" s="13" t="s">
        <v>312</v>
      </c>
      <c r="P293" s="13">
        <v>10</v>
      </c>
      <c r="Q293" s="13" t="s">
        <v>22</v>
      </c>
      <c r="R293" s="13" t="s">
        <v>33</v>
      </c>
      <c r="S293" s="13">
        <v>5</v>
      </c>
      <c r="T293" s="13" t="s">
        <v>73</v>
      </c>
      <c r="U293" s="13" t="s">
        <v>68</v>
      </c>
      <c r="V293" s="13">
        <v>8</v>
      </c>
      <c r="W293" s="14" t="s">
        <v>360</v>
      </c>
    </row>
    <row r="294" spans="1:23" ht="18.95" customHeight="1">
      <c r="A294" s="7">
        <v>293</v>
      </c>
      <c r="B294" s="8">
        <v>2022</v>
      </c>
      <c r="C294" s="23" t="s">
        <v>432</v>
      </c>
      <c r="D294" s="10" t="s">
        <v>114</v>
      </c>
      <c r="E294" s="10" t="s">
        <v>56</v>
      </c>
      <c r="F294" s="10" t="s">
        <v>16</v>
      </c>
      <c r="G294" s="10" t="s">
        <v>17</v>
      </c>
      <c r="H294" s="10" t="s">
        <v>18</v>
      </c>
      <c r="I294" s="10" t="s">
        <v>49</v>
      </c>
      <c r="J294" s="10">
        <v>6</v>
      </c>
      <c r="K294" s="10" t="s">
        <v>85</v>
      </c>
      <c r="L294" s="10">
        <v>3</v>
      </c>
      <c r="M294" s="10">
        <v>10</v>
      </c>
      <c r="N294" s="10">
        <v>8</v>
      </c>
      <c r="O294" s="10" t="s">
        <v>312</v>
      </c>
      <c r="P294" s="10">
        <v>8</v>
      </c>
      <c r="Q294" s="10" t="s">
        <v>22</v>
      </c>
      <c r="R294" s="10" t="s">
        <v>33</v>
      </c>
      <c r="S294" s="10">
        <v>6</v>
      </c>
      <c r="T294" s="10" t="s">
        <v>67</v>
      </c>
      <c r="U294" s="10" t="s">
        <v>54</v>
      </c>
      <c r="V294" s="10">
        <v>10</v>
      </c>
      <c r="W294" s="11" t="s">
        <v>371</v>
      </c>
    </row>
    <row r="295" spans="1:23" ht="18.95" customHeight="1">
      <c r="A295" s="7">
        <v>294</v>
      </c>
      <c r="B295" s="12">
        <v>2022</v>
      </c>
      <c r="C295" s="23" t="s">
        <v>432</v>
      </c>
      <c r="D295" s="13" t="s">
        <v>203</v>
      </c>
      <c r="E295" s="13" t="s">
        <v>75</v>
      </c>
      <c r="F295" s="13" t="s">
        <v>16</v>
      </c>
      <c r="G295" s="13" t="s">
        <v>47</v>
      </c>
      <c r="H295" s="13" t="s">
        <v>18</v>
      </c>
      <c r="I295" s="13" t="s">
        <v>305</v>
      </c>
      <c r="J295" s="13">
        <v>4</v>
      </c>
      <c r="K295" s="13" t="s">
        <v>85</v>
      </c>
      <c r="L295" s="13">
        <v>7</v>
      </c>
      <c r="M295" s="13">
        <v>9</v>
      </c>
      <c r="N295" s="13">
        <v>10</v>
      </c>
      <c r="O295" s="13" t="s">
        <v>43</v>
      </c>
      <c r="P295" s="13">
        <v>2</v>
      </c>
      <c r="Q295" s="13" t="s">
        <v>22</v>
      </c>
      <c r="R295" s="13" t="s">
        <v>106</v>
      </c>
      <c r="S295" s="13">
        <v>10</v>
      </c>
      <c r="T295" s="13" t="s">
        <v>330</v>
      </c>
      <c r="U295" s="13" t="s">
        <v>26</v>
      </c>
      <c r="V295" s="13">
        <v>9</v>
      </c>
      <c r="W295" s="14" t="s">
        <v>443</v>
      </c>
    </row>
    <row r="296" spans="1:23" ht="18.95" customHeight="1">
      <c r="A296" s="7">
        <v>295</v>
      </c>
      <c r="B296" s="8">
        <v>2022</v>
      </c>
      <c r="C296" s="23" t="s">
        <v>432</v>
      </c>
      <c r="D296" s="10" t="s">
        <v>258</v>
      </c>
      <c r="E296" s="10" t="s">
        <v>87</v>
      </c>
      <c r="F296" s="10" t="s">
        <v>57</v>
      </c>
      <c r="G296" s="10" t="s">
        <v>17</v>
      </c>
      <c r="H296" s="10" t="s">
        <v>18</v>
      </c>
      <c r="I296" s="10" t="s">
        <v>170</v>
      </c>
      <c r="J296" s="10">
        <v>8</v>
      </c>
      <c r="K296" s="10" t="s">
        <v>85</v>
      </c>
      <c r="L296" s="10">
        <v>6</v>
      </c>
      <c r="M296" s="10">
        <v>10</v>
      </c>
      <c r="N296" s="10">
        <v>9</v>
      </c>
      <c r="O296" s="10" t="s">
        <v>21</v>
      </c>
      <c r="P296" s="10">
        <v>2</v>
      </c>
      <c r="Q296" s="10" t="s">
        <v>22</v>
      </c>
      <c r="R296" s="10" t="s">
        <v>286</v>
      </c>
      <c r="S296" s="10">
        <v>1</v>
      </c>
      <c r="T296" s="10" t="s">
        <v>34</v>
      </c>
      <c r="U296" s="10" t="s">
        <v>140</v>
      </c>
      <c r="V296" s="10">
        <v>7</v>
      </c>
      <c r="W296" s="10" t="s">
        <v>444</v>
      </c>
    </row>
    <row r="297" spans="1:23" ht="18.95" customHeight="1">
      <c r="A297" s="7">
        <v>296</v>
      </c>
      <c r="B297" s="12">
        <v>2022</v>
      </c>
      <c r="C297" s="23" t="s">
        <v>432</v>
      </c>
      <c r="D297" s="13" t="s">
        <v>137</v>
      </c>
      <c r="E297" s="13" t="s">
        <v>42</v>
      </c>
      <c r="F297" s="13" t="s">
        <v>57</v>
      </c>
      <c r="G297" s="13" t="s">
        <v>17</v>
      </c>
      <c r="H297" s="13" t="s">
        <v>18</v>
      </c>
      <c r="I297" s="13" t="s">
        <v>49</v>
      </c>
      <c r="J297" s="13">
        <v>7</v>
      </c>
      <c r="K297" s="13" t="s">
        <v>85</v>
      </c>
      <c r="L297" s="13">
        <v>2</v>
      </c>
      <c r="M297" s="13">
        <v>10</v>
      </c>
      <c r="N297" s="13">
        <v>6</v>
      </c>
      <c r="O297" s="13" t="s">
        <v>312</v>
      </c>
      <c r="P297" s="13">
        <v>10</v>
      </c>
      <c r="Q297" s="13" t="s">
        <v>22</v>
      </c>
      <c r="R297" s="13" t="s">
        <v>33</v>
      </c>
      <c r="S297" s="13">
        <v>6</v>
      </c>
      <c r="T297" s="13" t="s">
        <v>282</v>
      </c>
      <c r="U297" s="13" t="s">
        <v>62</v>
      </c>
      <c r="V297" s="13">
        <v>6</v>
      </c>
      <c r="W297" s="13" t="s">
        <v>353</v>
      </c>
    </row>
    <row r="298" spans="1:23" ht="18.95" customHeight="1">
      <c r="A298" s="7">
        <v>297</v>
      </c>
      <c r="B298" s="8">
        <v>2022</v>
      </c>
      <c r="C298" s="23" t="s">
        <v>432</v>
      </c>
      <c r="D298" s="10" t="s">
        <v>147</v>
      </c>
      <c r="E298" s="10" t="s">
        <v>36</v>
      </c>
      <c r="F298" s="10" t="s">
        <v>57</v>
      </c>
      <c r="G298" s="10" t="s">
        <v>47</v>
      </c>
      <c r="H298" s="10" t="s">
        <v>18</v>
      </c>
      <c r="I298" s="10" t="s">
        <v>19</v>
      </c>
      <c r="J298" s="10">
        <v>10</v>
      </c>
      <c r="K298" s="10" t="s">
        <v>50</v>
      </c>
      <c r="L298" s="10">
        <v>5</v>
      </c>
      <c r="M298" s="10">
        <v>8</v>
      </c>
      <c r="N298" s="10">
        <v>3</v>
      </c>
      <c r="O298" s="10" t="s">
        <v>43</v>
      </c>
      <c r="P298" s="10">
        <v>10</v>
      </c>
      <c r="Q298" s="10" t="s">
        <v>64</v>
      </c>
      <c r="R298" s="10" t="s">
        <v>45</v>
      </c>
      <c r="S298" s="10">
        <v>8</v>
      </c>
      <c r="T298" s="10" t="s">
        <v>325</v>
      </c>
      <c r="U298" s="10" t="s">
        <v>40</v>
      </c>
      <c r="V298" s="10">
        <v>3</v>
      </c>
      <c r="W298" s="10" t="s">
        <v>314</v>
      </c>
    </row>
    <row r="299" spans="1:23" ht="18.95" customHeight="1">
      <c r="A299" s="7">
        <v>298</v>
      </c>
      <c r="B299" s="12">
        <v>2022</v>
      </c>
      <c r="C299" s="23" t="s">
        <v>432</v>
      </c>
      <c r="D299" s="13" t="s">
        <v>166</v>
      </c>
      <c r="E299" s="13" t="s">
        <v>56</v>
      </c>
      <c r="F299" s="13" t="s">
        <v>57</v>
      </c>
      <c r="G299" s="13" t="s">
        <v>17</v>
      </c>
      <c r="H299" s="13" t="s">
        <v>18</v>
      </c>
      <c r="I299" s="13" t="s">
        <v>307</v>
      </c>
      <c r="J299" s="13">
        <v>8</v>
      </c>
      <c r="K299" s="13" t="s">
        <v>32</v>
      </c>
      <c r="L299" s="13">
        <v>4</v>
      </c>
      <c r="M299" s="13">
        <v>10</v>
      </c>
      <c r="N299" s="13">
        <v>7</v>
      </c>
      <c r="O299" s="13" t="s">
        <v>312</v>
      </c>
      <c r="P299" s="13">
        <v>10</v>
      </c>
      <c r="Q299" s="13" t="s">
        <v>22</v>
      </c>
      <c r="R299" s="13" t="s">
        <v>51</v>
      </c>
      <c r="S299" s="13">
        <v>6</v>
      </c>
      <c r="T299" s="13" t="s">
        <v>34</v>
      </c>
      <c r="U299" s="13" t="s">
        <v>140</v>
      </c>
      <c r="V299" s="13">
        <v>9</v>
      </c>
      <c r="W299" s="13" t="s">
        <v>316</v>
      </c>
    </row>
    <row r="300" spans="1:23" ht="18.95" customHeight="1">
      <c r="A300" s="7">
        <v>299</v>
      </c>
      <c r="B300" s="8">
        <v>2022</v>
      </c>
      <c r="C300" s="23" t="s">
        <v>432</v>
      </c>
      <c r="D300" s="10" t="s">
        <v>166</v>
      </c>
      <c r="E300" s="10" t="s">
        <v>56</v>
      </c>
      <c r="F300" s="10" t="s">
        <v>16</v>
      </c>
      <c r="G300" s="10" t="s">
        <v>103</v>
      </c>
      <c r="H300" s="10" t="s">
        <v>18</v>
      </c>
      <c r="I300" s="10" t="s">
        <v>49</v>
      </c>
      <c r="J300" s="10">
        <v>7</v>
      </c>
      <c r="K300" s="10" t="s">
        <v>93</v>
      </c>
      <c r="L300" s="10">
        <v>7</v>
      </c>
      <c r="M300" s="10">
        <v>10</v>
      </c>
      <c r="N300" s="10">
        <v>7</v>
      </c>
      <c r="O300" s="10" t="s">
        <v>43</v>
      </c>
      <c r="P300" s="10">
        <v>8</v>
      </c>
      <c r="Q300" s="10" t="s">
        <v>22</v>
      </c>
      <c r="R300" s="10" t="s">
        <v>33</v>
      </c>
      <c r="S300" s="10">
        <v>3</v>
      </c>
      <c r="T300" s="10" t="s">
        <v>34</v>
      </c>
      <c r="U300" s="10" t="s">
        <v>40</v>
      </c>
      <c r="V300" s="10">
        <v>5</v>
      </c>
      <c r="W300" s="10" t="s">
        <v>372</v>
      </c>
    </row>
    <row r="301" spans="1:23" ht="18.95" customHeight="1">
      <c r="A301" s="7">
        <v>300</v>
      </c>
      <c r="B301" s="12">
        <v>2022</v>
      </c>
      <c r="C301" s="23" t="s">
        <v>432</v>
      </c>
      <c r="D301" s="13" t="s">
        <v>95</v>
      </c>
      <c r="E301" s="13" t="s">
        <v>42</v>
      </c>
      <c r="F301" s="13" t="s">
        <v>16</v>
      </c>
      <c r="G301" s="13" t="s">
        <v>17</v>
      </c>
      <c r="H301" s="13" t="s">
        <v>18</v>
      </c>
      <c r="I301" s="13" t="s">
        <v>307</v>
      </c>
      <c r="J301" s="13">
        <v>8</v>
      </c>
      <c r="K301" s="13" t="s">
        <v>85</v>
      </c>
      <c r="L301" s="13">
        <v>8</v>
      </c>
      <c r="M301" s="13">
        <v>10</v>
      </c>
      <c r="N301" s="13">
        <v>9</v>
      </c>
      <c r="O301" s="13" t="s">
        <v>21</v>
      </c>
      <c r="P301" s="13">
        <v>8</v>
      </c>
      <c r="Q301" s="13" t="s">
        <v>22</v>
      </c>
      <c r="R301" s="13" t="s">
        <v>23</v>
      </c>
      <c r="S301" s="13">
        <v>8</v>
      </c>
      <c r="T301" s="13" t="s">
        <v>34</v>
      </c>
      <c r="U301" s="13" t="s">
        <v>140</v>
      </c>
      <c r="V301" s="13">
        <v>8</v>
      </c>
      <c r="W301" s="13" t="s">
        <v>445</v>
      </c>
    </row>
    <row r="302" spans="1:23" ht="18.95" customHeight="1">
      <c r="A302" s="7">
        <v>301</v>
      </c>
      <c r="B302" s="15">
        <v>2022</v>
      </c>
      <c r="C302" s="23" t="s">
        <v>432</v>
      </c>
      <c r="D302" s="16" t="s">
        <v>166</v>
      </c>
      <c r="E302" s="13" t="s">
        <v>56</v>
      </c>
      <c r="F302" s="16" t="s">
        <v>57</v>
      </c>
      <c r="G302" s="13" t="s">
        <v>17</v>
      </c>
      <c r="H302" s="16" t="s">
        <v>18</v>
      </c>
      <c r="I302" s="16" t="s">
        <v>170</v>
      </c>
      <c r="J302" s="16">
        <v>6</v>
      </c>
      <c r="K302" s="13" t="s">
        <v>93</v>
      </c>
      <c r="L302" s="16">
        <v>7</v>
      </c>
      <c r="M302" s="16">
        <v>10</v>
      </c>
      <c r="N302" s="16">
        <v>7</v>
      </c>
      <c r="O302" s="16" t="s">
        <v>43</v>
      </c>
      <c r="P302" s="16">
        <v>5</v>
      </c>
      <c r="Q302" s="16" t="s">
        <v>22</v>
      </c>
      <c r="R302" s="16" t="s">
        <v>33</v>
      </c>
      <c r="S302" s="16">
        <v>10</v>
      </c>
      <c r="T302" s="16" t="s">
        <v>291</v>
      </c>
      <c r="U302" s="16" t="s">
        <v>26</v>
      </c>
      <c r="V302" s="16">
        <v>9</v>
      </c>
      <c r="W302" s="16" t="s">
        <v>207</v>
      </c>
    </row>
    <row r="303" spans="1:23" ht="18.95" customHeight="1">
      <c r="A303" s="7">
        <v>302</v>
      </c>
      <c r="B303" s="17">
        <v>2022</v>
      </c>
      <c r="C303" s="23" t="s">
        <v>432</v>
      </c>
      <c r="D303" s="18" t="s">
        <v>306</v>
      </c>
      <c r="E303" s="10" t="s">
        <v>15</v>
      </c>
      <c r="F303" s="18" t="s">
        <v>57</v>
      </c>
      <c r="G303" s="10" t="s">
        <v>47</v>
      </c>
      <c r="H303" s="18" t="s">
        <v>18</v>
      </c>
      <c r="I303" s="18" t="s">
        <v>307</v>
      </c>
      <c r="J303" s="18">
        <v>6</v>
      </c>
      <c r="K303" s="10" t="s">
        <v>93</v>
      </c>
      <c r="L303" s="18">
        <v>7</v>
      </c>
      <c r="M303" s="18">
        <v>10</v>
      </c>
      <c r="N303" s="18">
        <v>8</v>
      </c>
      <c r="O303" s="18" t="s">
        <v>312</v>
      </c>
      <c r="P303" s="18">
        <v>8</v>
      </c>
      <c r="Q303" s="18" t="s">
        <v>59</v>
      </c>
      <c r="R303" s="18" t="s">
        <v>434</v>
      </c>
      <c r="S303" s="18">
        <v>9</v>
      </c>
      <c r="T303" s="18" t="s">
        <v>73</v>
      </c>
      <c r="U303" s="18" t="s">
        <v>26</v>
      </c>
      <c r="V303" s="18">
        <v>9</v>
      </c>
      <c r="W303" s="18" t="s">
        <v>354</v>
      </c>
    </row>
    <row r="304" spans="1:23" ht="18.95" customHeight="1">
      <c r="A304" s="7">
        <v>303</v>
      </c>
      <c r="B304" s="15">
        <v>2022</v>
      </c>
      <c r="C304" s="23" t="s">
        <v>432</v>
      </c>
      <c r="D304" s="16" t="s">
        <v>297</v>
      </c>
      <c r="E304" s="13" t="s">
        <v>42</v>
      </c>
      <c r="F304" s="16" t="s">
        <v>16</v>
      </c>
      <c r="G304" s="13" t="s">
        <v>47</v>
      </c>
      <c r="H304" s="16" t="s">
        <v>18</v>
      </c>
      <c r="I304" s="16" t="s">
        <v>170</v>
      </c>
      <c r="J304" s="16">
        <v>7</v>
      </c>
      <c r="K304" s="13" t="s">
        <v>20</v>
      </c>
      <c r="L304" s="16">
        <v>8</v>
      </c>
      <c r="M304" s="16">
        <v>8</v>
      </c>
      <c r="N304" s="16">
        <v>9</v>
      </c>
      <c r="O304" s="16" t="s">
        <v>21</v>
      </c>
      <c r="P304" s="16">
        <v>7</v>
      </c>
      <c r="Q304" s="16" t="s">
        <v>22</v>
      </c>
      <c r="R304" s="16" t="s">
        <v>490</v>
      </c>
      <c r="S304" s="16">
        <v>7</v>
      </c>
      <c r="T304" s="16" t="s">
        <v>282</v>
      </c>
      <c r="U304" s="16" t="s">
        <v>68</v>
      </c>
      <c r="V304" s="16">
        <v>10</v>
      </c>
      <c r="W304" s="16" t="s">
        <v>300</v>
      </c>
    </row>
    <row r="305" spans="1:23" ht="18.95" customHeight="1">
      <c r="A305" s="7">
        <v>304</v>
      </c>
      <c r="B305" s="8">
        <v>2023</v>
      </c>
      <c r="C305" s="23" t="s">
        <v>432</v>
      </c>
      <c r="D305" s="10" t="s">
        <v>98</v>
      </c>
      <c r="E305" s="10" t="s">
        <v>15</v>
      </c>
      <c r="F305" s="10" t="s">
        <v>57</v>
      </c>
      <c r="G305" s="10" t="s">
        <v>17</v>
      </c>
      <c r="H305" s="10" t="s">
        <v>18</v>
      </c>
      <c r="I305" s="10" t="s">
        <v>49</v>
      </c>
      <c r="J305" s="10">
        <v>7</v>
      </c>
      <c r="K305" s="10" t="s">
        <v>93</v>
      </c>
      <c r="L305" s="10">
        <v>1</v>
      </c>
      <c r="M305" s="10">
        <v>10</v>
      </c>
      <c r="N305" s="10">
        <v>1</v>
      </c>
      <c r="O305" s="10" t="s">
        <v>312</v>
      </c>
      <c r="P305" s="10">
        <v>10</v>
      </c>
      <c r="Q305" s="10" t="s">
        <v>22</v>
      </c>
      <c r="R305" s="10" t="s">
        <v>112</v>
      </c>
      <c r="S305" s="10">
        <v>5</v>
      </c>
      <c r="T305" s="10" t="s">
        <v>73</v>
      </c>
      <c r="U305" s="10" t="s">
        <v>97</v>
      </c>
      <c r="V305" s="10">
        <v>10</v>
      </c>
      <c r="W305" s="11" t="s">
        <v>333</v>
      </c>
    </row>
    <row r="306" spans="1:23" ht="18.95" customHeight="1">
      <c r="A306" s="7">
        <v>305</v>
      </c>
      <c r="B306" s="12">
        <v>2023</v>
      </c>
      <c r="C306" s="23" t="s">
        <v>432</v>
      </c>
      <c r="D306" s="13" t="s">
        <v>98</v>
      </c>
      <c r="E306" s="13" t="s">
        <v>15</v>
      </c>
      <c r="F306" s="13" t="s">
        <v>57</v>
      </c>
      <c r="G306" s="13" t="s">
        <v>17</v>
      </c>
      <c r="H306" s="13" t="s">
        <v>18</v>
      </c>
      <c r="I306" s="13" t="s">
        <v>170</v>
      </c>
      <c r="J306" s="13">
        <v>5</v>
      </c>
      <c r="K306" s="13" t="s">
        <v>93</v>
      </c>
      <c r="L306" s="13">
        <v>7</v>
      </c>
      <c r="M306" s="13">
        <v>10</v>
      </c>
      <c r="N306" s="13">
        <v>9</v>
      </c>
      <c r="O306" s="13" t="s">
        <v>94</v>
      </c>
      <c r="P306" s="13">
        <v>10</v>
      </c>
      <c r="Q306" s="13" t="s">
        <v>22</v>
      </c>
      <c r="R306" s="13" t="s">
        <v>45</v>
      </c>
      <c r="S306" s="13">
        <v>7</v>
      </c>
      <c r="T306" s="13" t="s">
        <v>34</v>
      </c>
      <c r="U306" s="13" t="s">
        <v>68</v>
      </c>
      <c r="V306" s="13">
        <v>9</v>
      </c>
      <c r="W306" s="14" t="s">
        <v>367</v>
      </c>
    </row>
    <row r="307" spans="1:23" ht="18.95" customHeight="1">
      <c r="A307" s="7">
        <v>306</v>
      </c>
      <c r="B307" s="8">
        <v>2023</v>
      </c>
      <c r="C307" s="23" t="s">
        <v>432</v>
      </c>
      <c r="D307" s="10" t="s">
        <v>95</v>
      </c>
      <c r="E307" s="10" t="s">
        <v>42</v>
      </c>
      <c r="F307" s="10" t="s">
        <v>57</v>
      </c>
      <c r="G307" s="10" t="s">
        <v>17</v>
      </c>
      <c r="H307" s="10" t="s">
        <v>18</v>
      </c>
      <c r="I307" s="10" t="s">
        <v>49</v>
      </c>
      <c r="J307" s="10">
        <v>5</v>
      </c>
      <c r="K307" s="10" t="s">
        <v>20</v>
      </c>
      <c r="L307" s="10">
        <v>10</v>
      </c>
      <c r="M307" s="10">
        <v>10</v>
      </c>
      <c r="N307" s="10">
        <v>10</v>
      </c>
      <c r="O307" s="10" t="s">
        <v>94</v>
      </c>
      <c r="P307" s="10">
        <v>8</v>
      </c>
      <c r="Q307" s="10" t="s">
        <v>22</v>
      </c>
      <c r="R307" s="10" t="s">
        <v>33</v>
      </c>
      <c r="S307" s="10">
        <v>7</v>
      </c>
      <c r="T307" s="10" t="s">
        <v>296</v>
      </c>
      <c r="U307" s="10" t="s">
        <v>54</v>
      </c>
      <c r="V307" s="10">
        <v>8</v>
      </c>
      <c r="W307" s="11" t="s">
        <v>354</v>
      </c>
    </row>
    <row r="308" spans="1:23" ht="18.95" customHeight="1">
      <c r="A308" s="7">
        <v>307</v>
      </c>
      <c r="B308" s="12">
        <v>2023</v>
      </c>
      <c r="C308" s="23" t="s">
        <v>432</v>
      </c>
      <c r="D308" s="13" t="s">
        <v>141</v>
      </c>
      <c r="E308" s="13" t="s">
        <v>87</v>
      </c>
      <c r="F308" s="13" t="s">
        <v>57</v>
      </c>
      <c r="G308" s="13" t="s">
        <v>103</v>
      </c>
      <c r="H308" s="13" t="s">
        <v>48</v>
      </c>
      <c r="I308" s="13" t="s">
        <v>170</v>
      </c>
      <c r="J308" s="13">
        <v>6</v>
      </c>
      <c r="K308" s="13" t="s">
        <v>32</v>
      </c>
      <c r="L308" s="13">
        <v>2</v>
      </c>
      <c r="M308" s="13">
        <v>1</v>
      </c>
      <c r="N308" s="13">
        <v>8</v>
      </c>
      <c r="O308" s="13" t="s">
        <v>21</v>
      </c>
      <c r="P308" s="13">
        <v>10</v>
      </c>
      <c r="Q308" s="13" t="s">
        <v>446</v>
      </c>
      <c r="R308" s="13" t="s">
        <v>117</v>
      </c>
      <c r="S308" s="13">
        <v>10</v>
      </c>
      <c r="T308" s="13" t="s">
        <v>336</v>
      </c>
      <c r="U308" s="13" t="s">
        <v>40</v>
      </c>
      <c r="V308" s="13">
        <v>8</v>
      </c>
      <c r="W308" s="14" t="s">
        <v>303</v>
      </c>
    </row>
    <row r="309" spans="1:23" ht="18.95" customHeight="1">
      <c r="A309" s="7">
        <v>308</v>
      </c>
      <c r="B309" s="8">
        <v>2023</v>
      </c>
      <c r="C309" s="23" t="s">
        <v>432</v>
      </c>
      <c r="D309" s="10" t="s">
        <v>147</v>
      </c>
      <c r="E309" s="10" t="s">
        <v>36</v>
      </c>
      <c r="F309" s="10" t="s">
        <v>57</v>
      </c>
      <c r="G309" s="10" t="s">
        <v>17</v>
      </c>
      <c r="H309" s="10" t="s">
        <v>18</v>
      </c>
      <c r="I309" s="10" t="s">
        <v>307</v>
      </c>
      <c r="J309" s="10">
        <v>5</v>
      </c>
      <c r="K309" s="10" t="s">
        <v>50</v>
      </c>
      <c r="L309" s="10">
        <v>7</v>
      </c>
      <c r="M309" s="10">
        <v>9</v>
      </c>
      <c r="N309" s="10">
        <v>7</v>
      </c>
      <c r="O309" s="10" t="s">
        <v>312</v>
      </c>
      <c r="P309" s="10">
        <v>8</v>
      </c>
      <c r="Q309" s="10" t="s">
        <v>332</v>
      </c>
      <c r="R309" s="10" t="s">
        <v>391</v>
      </c>
      <c r="S309" s="10">
        <v>4</v>
      </c>
      <c r="T309" s="10" t="s">
        <v>34</v>
      </c>
      <c r="U309" s="10" t="s">
        <v>26</v>
      </c>
      <c r="V309" s="10">
        <v>7</v>
      </c>
      <c r="W309" s="11" t="s">
        <v>315</v>
      </c>
    </row>
    <row r="310" spans="1:23" ht="18.95" customHeight="1">
      <c r="A310" s="7">
        <v>309</v>
      </c>
      <c r="B310" s="12">
        <v>2023</v>
      </c>
      <c r="C310" s="23" t="s">
        <v>432</v>
      </c>
      <c r="D310" s="13" t="s">
        <v>86</v>
      </c>
      <c r="E310" s="13" t="s">
        <v>87</v>
      </c>
      <c r="F310" s="13" t="s">
        <v>16</v>
      </c>
      <c r="G310" s="13" t="s">
        <v>17</v>
      </c>
      <c r="H310" s="13" t="s">
        <v>18</v>
      </c>
      <c r="I310" s="13" t="s">
        <v>305</v>
      </c>
      <c r="J310" s="13">
        <v>2</v>
      </c>
      <c r="K310" s="13" t="s">
        <v>20</v>
      </c>
      <c r="L310" s="13">
        <v>8</v>
      </c>
      <c r="M310" s="13">
        <v>10</v>
      </c>
      <c r="N310" s="13">
        <v>9</v>
      </c>
      <c r="O310" s="13" t="s">
        <v>94</v>
      </c>
      <c r="P310" s="13">
        <v>9</v>
      </c>
      <c r="Q310" s="13" t="s">
        <v>22</v>
      </c>
      <c r="R310" s="13" t="s">
        <v>174</v>
      </c>
      <c r="S310" s="13">
        <v>10</v>
      </c>
      <c r="T310" s="13" t="s">
        <v>61</v>
      </c>
      <c r="U310" s="13" t="s">
        <v>97</v>
      </c>
      <c r="V310" s="13">
        <v>9</v>
      </c>
      <c r="W310" s="14" t="s">
        <v>304</v>
      </c>
    </row>
    <row r="311" spans="1:23" ht="18.95" customHeight="1">
      <c r="A311" s="7">
        <v>310</v>
      </c>
      <c r="B311" s="8">
        <v>2023</v>
      </c>
      <c r="C311" s="23" t="s">
        <v>432</v>
      </c>
      <c r="D311" s="10" t="s">
        <v>55</v>
      </c>
      <c r="E311" s="10" t="s">
        <v>56</v>
      </c>
      <c r="F311" s="10" t="s">
        <v>57</v>
      </c>
      <c r="G311" s="10" t="s">
        <v>17</v>
      </c>
      <c r="H311" s="10" t="s">
        <v>18</v>
      </c>
      <c r="I311" s="10" t="s">
        <v>49</v>
      </c>
      <c r="J311" s="10">
        <v>7</v>
      </c>
      <c r="K311" s="10" t="s">
        <v>85</v>
      </c>
      <c r="L311" s="10">
        <v>1</v>
      </c>
      <c r="M311" s="10">
        <v>10</v>
      </c>
      <c r="N311" s="10">
        <v>1</v>
      </c>
      <c r="O311" s="10" t="s">
        <v>94</v>
      </c>
      <c r="P311" s="10">
        <v>7</v>
      </c>
      <c r="Q311" s="10" t="s">
        <v>22</v>
      </c>
      <c r="R311" s="10" t="s">
        <v>45</v>
      </c>
      <c r="S311" s="10">
        <v>10</v>
      </c>
      <c r="T311" s="10" t="s">
        <v>53</v>
      </c>
      <c r="U311" s="10" t="s">
        <v>140</v>
      </c>
      <c r="V311" s="10">
        <v>10</v>
      </c>
      <c r="W311" s="11" t="s">
        <v>303</v>
      </c>
    </row>
    <row r="312" spans="1:23" ht="18.95" customHeight="1">
      <c r="A312" s="7">
        <v>311</v>
      </c>
      <c r="B312" s="12">
        <v>2023</v>
      </c>
      <c r="C312" s="23" t="s">
        <v>432</v>
      </c>
      <c r="D312" s="13" t="s">
        <v>89</v>
      </c>
      <c r="E312" s="13" t="s">
        <v>90</v>
      </c>
      <c r="F312" s="13" t="s">
        <v>57</v>
      </c>
      <c r="G312" s="13" t="s">
        <v>17</v>
      </c>
      <c r="H312" s="13" t="s">
        <v>18</v>
      </c>
      <c r="I312" s="13" t="s">
        <v>307</v>
      </c>
      <c r="J312" s="13">
        <v>6</v>
      </c>
      <c r="K312" s="13" t="s">
        <v>93</v>
      </c>
      <c r="L312" s="13">
        <v>10</v>
      </c>
      <c r="M312" s="13">
        <v>10</v>
      </c>
      <c r="N312" s="13">
        <v>10</v>
      </c>
      <c r="O312" s="13" t="s">
        <v>94</v>
      </c>
      <c r="P312" s="13">
        <v>8</v>
      </c>
      <c r="Q312" s="13" t="s">
        <v>22</v>
      </c>
      <c r="R312" s="13" t="s">
        <v>447</v>
      </c>
      <c r="S312" s="13">
        <v>9</v>
      </c>
      <c r="T312" s="13" t="s">
        <v>251</v>
      </c>
      <c r="U312" s="13" t="s">
        <v>140</v>
      </c>
      <c r="V312" s="13">
        <v>9</v>
      </c>
      <c r="W312" s="14" t="s">
        <v>317</v>
      </c>
    </row>
    <row r="313" spans="1:23" ht="18.95" customHeight="1">
      <c r="A313" s="7">
        <v>312</v>
      </c>
      <c r="B313" s="8">
        <v>2023</v>
      </c>
      <c r="C313" s="23" t="s">
        <v>432</v>
      </c>
      <c r="D313" s="10" t="s">
        <v>89</v>
      </c>
      <c r="E313" s="10" t="s">
        <v>90</v>
      </c>
      <c r="F313" s="10" t="s">
        <v>57</v>
      </c>
      <c r="G313" s="10" t="s">
        <v>103</v>
      </c>
      <c r="H313" s="10" t="s">
        <v>18</v>
      </c>
      <c r="I313" s="10" t="s">
        <v>49</v>
      </c>
      <c r="J313" s="10">
        <v>7</v>
      </c>
      <c r="K313" s="10" t="s">
        <v>93</v>
      </c>
      <c r="L313" s="10">
        <v>8</v>
      </c>
      <c r="M313" s="10">
        <v>9</v>
      </c>
      <c r="N313" s="10">
        <v>10</v>
      </c>
      <c r="O313" s="10" t="s">
        <v>312</v>
      </c>
      <c r="P313" s="10">
        <v>6</v>
      </c>
      <c r="Q313" s="10" t="s">
        <v>22</v>
      </c>
      <c r="R313" s="10" t="s">
        <v>174</v>
      </c>
      <c r="S313" s="10">
        <v>6</v>
      </c>
      <c r="T313" s="10" t="s">
        <v>53</v>
      </c>
      <c r="U313" s="10" t="s">
        <v>54</v>
      </c>
      <c r="V313" s="10">
        <v>7</v>
      </c>
      <c r="W313" s="11" t="s">
        <v>185</v>
      </c>
    </row>
    <row r="314" spans="1:23" ht="18.95" customHeight="1">
      <c r="A314" s="7">
        <v>313</v>
      </c>
      <c r="B314" s="12">
        <v>2023</v>
      </c>
      <c r="C314" s="23" t="s">
        <v>432</v>
      </c>
      <c r="D314" s="13" t="s">
        <v>166</v>
      </c>
      <c r="E314" s="13" t="s">
        <v>56</v>
      </c>
      <c r="F314" s="13" t="s">
        <v>16</v>
      </c>
      <c r="G314" s="13" t="s">
        <v>103</v>
      </c>
      <c r="H314" s="13" t="s">
        <v>18</v>
      </c>
      <c r="I314" s="13" t="s">
        <v>81</v>
      </c>
      <c r="J314" s="13">
        <v>5</v>
      </c>
      <c r="K314" s="13" t="s">
        <v>85</v>
      </c>
      <c r="L314" s="13">
        <v>7</v>
      </c>
      <c r="M314" s="13">
        <v>6</v>
      </c>
      <c r="N314" s="13">
        <v>8</v>
      </c>
      <c r="O314" s="13" t="s">
        <v>94</v>
      </c>
      <c r="P314" s="13">
        <v>7</v>
      </c>
      <c r="Q314" s="13" t="s">
        <v>22</v>
      </c>
      <c r="R314" s="13" t="s">
        <v>33</v>
      </c>
      <c r="S314" s="13">
        <v>6</v>
      </c>
      <c r="T314" s="13" t="s">
        <v>282</v>
      </c>
      <c r="U314" s="13" t="s">
        <v>97</v>
      </c>
      <c r="V314" s="13">
        <v>8</v>
      </c>
      <c r="W314" s="14" t="s">
        <v>292</v>
      </c>
    </row>
    <row r="315" spans="1:23" ht="18.95" customHeight="1">
      <c r="A315" s="7">
        <v>314</v>
      </c>
      <c r="B315" s="8">
        <v>2023</v>
      </c>
      <c r="C315" s="23" t="s">
        <v>432</v>
      </c>
      <c r="D315" s="10" t="s">
        <v>147</v>
      </c>
      <c r="E315" s="10" t="s">
        <v>36</v>
      </c>
      <c r="F315" s="10" t="s">
        <v>16</v>
      </c>
      <c r="G315" s="10" t="s">
        <v>47</v>
      </c>
      <c r="H315" s="10" t="s">
        <v>18</v>
      </c>
      <c r="I315" s="10" t="s">
        <v>49</v>
      </c>
      <c r="J315" s="10">
        <v>7</v>
      </c>
      <c r="K315" s="10" t="s">
        <v>32</v>
      </c>
      <c r="L315" s="10">
        <v>7</v>
      </c>
      <c r="M315" s="10">
        <v>10</v>
      </c>
      <c r="N315" s="10">
        <v>7</v>
      </c>
      <c r="O315" s="10" t="s">
        <v>94</v>
      </c>
      <c r="P315" s="10">
        <v>6</v>
      </c>
      <c r="Q315" s="10" t="s">
        <v>22</v>
      </c>
      <c r="R315" s="10" t="s">
        <v>33</v>
      </c>
      <c r="S315" s="10">
        <v>6</v>
      </c>
      <c r="T315" s="10" t="s">
        <v>73</v>
      </c>
      <c r="U315" s="10" t="s">
        <v>80</v>
      </c>
      <c r="V315" s="10">
        <v>8</v>
      </c>
      <c r="W315" s="11" t="s">
        <v>448</v>
      </c>
    </row>
    <row r="316" spans="1:23" ht="18.95" customHeight="1">
      <c r="A316" s="7">
        <v>315</v>
      </c>
      <c r="B316" s="12">
        <v>2023</v>
      </c>
      <c r="C316" s="23" t="s">
        <v>432</v>
      </c>
      <c r="D316" s="13" t="s">
        <v>98</v>
      </c>
      <c r="E316" s="13" t="s">
        <v>15</v>
      </c>
      <c r="F316" s="13" t="s">
        <v>57</v>
      </c>
      <c r="G316" s="13" t="s">
        <v>47</v>
      </c>
      <c r="H316" s="13" t="s">
        <v>18</v>
      </c>
      <c r="I316" s="13" t="s">
        <v>305</v>
      </c>
      <c r="J316" s="13">
        <v>6</v>
      </c>
      <c r="K316" s="13" t="s">
        <v>20</v>
      </c>
      <c r="L316" s="13">
        <v>6</v>
      </c>
      <c r="M316" s="13">
        <v>3</v>
      </c>
      <c r="N316" s="13">
        <v>9</v>
      </c>
      <c r="O316" s="13" t="s">
        <v>21</v>
      </c>
      <c r="P316" s="13">
        <v>3</v>
      </c>
      <c r="Q316" s="13" t="s">
        <v>22</v>
      </c>
      <c r="R316" s="13" t="s">
        <v>45</v>
      </c>
      <c r="S316" s="13">
        <v>8</v>
      </c>
      <c r="T316" s="13" t="s">
        <v>34</v>
      </c>
      <c r="U316" s="13" t="s">
        <v>26</v>
      </c>
      <c r="V316" s="13">
        <v>9</v>
      </c>
      <c r="W316" s="14" t="s">
        <v>226</v>
      </c>
    </row>
    <row r="317" spans="1:23" ht="18.95" customHeight="1">
      <c r="A317" s="7">
        <v>316</v>
      </c>
      <c r="B317" s="8">
        <v>2023</v>
      </c>
      <c r="C317" s="23" t="s">
        <v>432</v>
      </c>
      <c r="D317" s="10" t="s">
        <v>203</v>
      </c>
      <c r="E317" s="10" t="s">
        <v>75</v>
      </c>
      <c r="F317" s="10" t="s">
        <v>57</v>
      </c>
      <c r="G317" s="10" t="s">
        <v>47</v>
      </c>
      <c r="H317" s="10" t="s">
        <v>18</v>
      </c>
      <c r="I317" s="10" t="s">
        <v>81</v>
      </c>
      <c r="J317" s="10">
        <v>7</v>
      </c>
      <c r="K317" s="10" t="s">
        <v>85</v>
      </c>
      <c r="L317" s="10">
        <v>8</v>
      </c>
      <c r="M317" s="10">
        <v>10</v>
      </c>
      <c r="N317" s="10">
        <v>6</v>
      </c>
      <c r="O317" s="10" t="s">
        <v>43</v>
      </c>
      <c r="P317" s="10">
        <v>9</v>
      </c>
      <c r="Q317" s="10" t="s">
        <v>22</v>
      </c>
      <c r="R317" s="10" t="s">
        <v>449</v>
      </c>
      <c r="S317" s="10">
        <v>10</v>
      </c>
      <c r="T317" s="10" t="s">
        <v>61</v>
      </c>
      <c r="U317" s="10" t="s">
        <v>26</v>
      </c>
      <c r="V317" s="10">
        <v>10</v>
      </c>
      <c r="W317" s="11" t="s">
        <v>355</v>
      </c>
    </row>
    <row r="318" spans="1:23" ht="18.95" customHeight="1">
      <c r="A318" s="7">
        <v>317</v>
      </c>
      <c r="B318" s="12">
        <v>2023</v>
      </c>
      <c r="C318" s="23" t="s">
        <v>432</v>
      </c>
      <c r="D318" s="13" t="s">
        <v>98</v>
      </c>
      <c r="E318" s="13" t="s">
        <v>15</v>
      </c>
      <c r="F318" s="13" t="s">
        <v>57</v>
      </c>
      <c r="G318" s="13" t="s">
        <v>47</v>
      </c>
      <c r="H318" s="13" t="s">
        <v>18</v>
      </c>
      <c r="I318" s="13" t="s">
        <v>305</v>
      </c>
      <c r="J318" s="13">
        <v>8</v>
      </c>
      <c r="K318" s="13" t="s">
        <v>50</v>
      </c>
      <c r="L318" s="13">
        <v>7</v>
      </c>
      <c r="M318" s="13">
        <v>9</v>
      </c>
      <c r="N318" s="13">
        <v>4</v>
      </c>
      <c r="O318" s="13" t="s">
        <v>43</v>
      </c>
      <c r="P318" s="13">
        <v>5</v>
      </c>
      <c r="Q318" s="13" t="s">
        <v>22</v>
      </c>
      <c r="R318" s="13" t="s">
        <v>450</v>
      </c>
      <c r="S318" s="13">
        <v>5</v>
      </c>
      <c r="T318" s="13" t="s">
        <v>34</v>
      </c>
      <c r="U318" s="13" t="s">
        <v>97</v>
      </c>
      <c r="V318" s="13">
        <v>10</v>
      </c>
      <c r="W318" s="14" t="s">
        <v>361</v>
      </c>
    </row>
    <row r="319" spans="1:23" ht="18.95" customHeight="1">
      <c r="A319" s="7">
        <v>318</v>
      </c>
      <c r="B319" s="8">
        <v>2023</v>
      </c>
      <c r="C319" s="23" t="s">
        <v>432</v>
      </c>
      <c r="D319" s="10" t="s">
        <v>326</v>
      </c>
      <c r="E319" s="10" t="s">
        <v>42</v>
      </c>
      <c r="F319" s="10" t="s">
        <v>57</v>
      </c>
      <c r="G319" s="10" t="s">
        <v>17</v>
      </c>
      <c r="H319" s="10" t="s">
        <v>18</v>
      </c>
      <c r="I319" s="10" t="s">
        <v>76</v>
      </c>
      <c r="J319" s="10">
        <v>7</v>
      </c>
      <c r="K319" s="10" t="s">
        <v>20</v>
      </c>
      <c r="L319" s="10">
        <v>9</v>
      </c>
      <c r="M319" s="10">
        <v>7</v>
      </c>
      <c r="N319" s="10">
        <v>9</v>
      </c>
      <c r="O319" s="10" t="s">
        <v>94</v>
      </c>
      <c r="P319" s="10">
        <v>10</v>
      </c>
      <c r="Q319" s="10" t="s">
        <v>22</v>
      </c>
      <c r="R319" s="10" t="s">
        <v>33</v>
      </c>
      <c r="S319" s="10">
        <v>8</v>
      </c>
      <c r="T319" s="10" t="s">
        <v>282</v>
      </c>
      <c r="U319" s="10" t="s">
        <v>26</v>
      </c>
      <c r="V319" s="10">
        <v>9</v>
      </c>
      <c r="W319" s="11" t="s">
        <v>292</v>
      </c>
    </row>
    <row r="320" spans="1:23" ht="18.95" customHeight="1">
      <c r="A320" s="7">
        <v>319</v>
      </c>
      <c r="B320" s="12">
        <v>2023</v>
      </c>
      <c r="C320" s="23" t="s">
        <v>432</v>
      </c>
      <c r="D320" s="13" t="s">
        <v>27</v>
      </c>
      <c r="E320" s="13" t="s">
        <v>28</v>
      </c>
      <c r="F320" s="13" t="s">
        <v>57</v>
      </c>
      <c r="G320" s="13" t="s">
        <v>17</v>
      </c>
      <c r="H320" s="13" t="s">
        <v>18</v>
      </c>
      <c r="I320" s="13" t="s">
        <v>76</v>
      </c>
      <c r="J320" s="13">
        <v>4</v>
      </c>
      <c r="K320" s="13" t="s">
        <v>32</v>
      </c>
      <c r="L320" s="13">
        <v>2</v>
      </c>
      <c r="M320" s="13">
        <v>1</v>
      </c>
      <c r="N320" s="13">
        <v>3</v>
      </c>
      <c r="O320" s="13" t="s">
        <v>43</v>
      </c>
      <c r="P320" s="13">
        <v>1</v>
      </c>
      <c r="Q320" s="13" t="s">
        <v>22</v>
      </c>
      <c r="R320" s="13" t="s">
        <v>427</v>
      </c>
      <c r="S320" s="13">
        <v>1</v>
      </c>
      <c r="T320" s="13" t="s">
        <v>34</v>
      </c>
      <c r="U320" s="13" t="s">
        <v>140</v>
      </c>
      <c r="V320" s="13">
        <v>8</v>
      </c>
      <c r="W320" s="13" t="s">
        <v>316</v>
      </c>
    </row>
    <row r="321" spans="1:23" ht="18.95" customHeight="1">
      <c r="A321" s="7">
        <v>320</v>
      </c>
      <c r="B321" s="8">
        <v>2023</v>
      </c>
      <c r="C321" s="23" t="s">
        <v>432</v>
      </c>
      <c r="D321" s="10" t="s">
        <v>147</v>
      </c>
      <c r="E321" s="10" t="s">
        <v>36</v>
      </c>
      <c r="F321" s="10" t="s">
        <v>57</v>
      </c>
      <c r="G321" s="10" t="s">
        <v>103</v>
      </c>
      <c r="H321" s="10" t="s">
        <v>18</v>
      </c>
      <c r="I321" s="10" t="s">
        <v>170</v>
      </c>
      <c r="J321" s="10">
        <v>9</v>
      </c>
      <c r="K321" s="10" t="s">
        <v>20</v>
      </c>
      <c r="L321" s="10">
        <v>3</v>
      </c>
      <c r="M321" s="10">
        <v>10</v>
      </c>
      <c r="N321" s="10">
        <v>5</v>
      </c>
      <c r="O321" s="10" t="s">
        <v>43</v>
      </c>
      <c r="P321" s="10">
        <v>10</v>
      </c>
      <c r="Q321" s="10" t="s">
        <v>37</v>
      </c>
      <c r="R321" s="10" t="s">
        <v>33</v>
      </c>
      <c r="S321" s="10">
        <v>7</v>
      </c>
      <c r="T321" s="10" t="s">
        <v>53</v>
      </c>
      <c r="U321" s="10" t="s">
        <v>68</v>
      </c>
      <c r="V321" s="10">
        <v>7</v>
      </c>
      <c r="W321" s="10" t="s">
        <v>451</v>
      </c>
    </row>
    <row r="322" spans="1:23" ht="18.95" customHeight="1">
      <c r="A322" s="7">
        <v>321</v>
      </c>
      <c r="B322" s="12">
        <v>2023</v>
      </c>
      <c r="C322" s="23" t="s">
        <v>432</v>
      </c>
      <c r="D322" s="13" t="s">
        <v>83</v>
      </c>
      <c r="E322" s="13" t="s">
        <v>36</v>
      </c>
      <c r="F322" s="13" t="s">
        <v>16</v>
      </c>
      <c r="G322" s="13" t="s">
        <v>103</v>
      </c>
      <c r="H322" s="13" t="s">
        <v>48</v>
      </c>
      <c r="I322" s="13" t="s">
        <v>49</v>
      </c>
      <c r="J322" s="13">
        <v>7</v>
      </c>
      <c r="K322" s="13" t="s">
        <v>85</v>
      </c>
      <c r="L322" s="13">
        <v>8</v>
      </c>
      <c r="M322" s="13">
        <v>10</v>
      </c>
      <c r="N322" s="13">
        <v>8</v>
      </c>
      <c r="O322" s="13" t="s">
        <v>21</v>
      </c>
      <c r="P322" s="13">
        <v>4</v>
      </c>
      <c r="Q322" s="13" t="s">
        <v>59</v>
      </c>
      <c r="R322" s="13" t="s">
        <v>51</v>
      </c>
      <c r="S322" s="13">
        <v>5</v>
      </c>
      <c r="T322" s="13" t="s">
        <v>34</v>
      </c>
      <c r="U322" s="13" t="s">
        <v>62</v>
      </c>
      <c r="V322" s="13">
        <v>7</v>
      </c>
      <c r="W322" s="13" t="s">
        <v>338</v>
      </c>
    </row>
    <row r="323" spans="1:23" ht="18.95" customHeight="1">
      <c r="A323" s="7">
        <v>322</v>
      </c>
      <c r="B323" s="8">
        <v>2023</v>
      </c>
      <c r="C323" s="23" t="s">
        <v>432</v>
      </c>
      <c r="D323" s="10" t="s">
        <v>203</v>
      </c>
      <c r="E323" s="10" t="s">
        <v>75</v>
      </c>
      <c r="F323" s="10" t="s">
        <v>16</v>
      </c>
      <c r="G323" s="10" t="s">
        <v>17</v>
      </c>
      <c r="H323" s="10" t="s">
        <v>18</v>
      </c>
      <c r="I323" s="10" t="s">
        <v>305</v>
      </c>
      <c r="J323" s="10">
        <v>7</v>
      </c>
      <c r="K323" s="10" t="s">
        <v>32</v>
      </c>
      <c r="L323" s="10">
        <v>8</v>
      </c>
      <c r="M323" s="10">
        <v>10</v>
      </c>
      <c r="N323" s="10">
        <v>7</v>
      </c>
      <c r="O323" s="10" t="s">
        <v>21</v>
      </c>
      <c r="P323" s="10">
        <v>10</v>
      </c>
      <c r="Q323" s="10" t="s">
        <v>22</v>
      </c>
      <c r="R323" s="10" t="s">
        <v>174</v>
      </c>
      <c r="S323" s="10">
        <v>7</v>
      </c>
      <c r="T323" s="10" t="s">
        <v>34</v>
      </c>
      <c r="U323" s="10" t="s">
        <v>97</v>
      </c>
      <c r="V323" s="10">
        <v>10</v>
      </c>
      <c r="W323" s="10" t="s">
        <v>352</v>
      </c>
    </row>
    <row r="324" spans="1:23" ht="18.95" customHeight="1">
      <c r="A324" s="7">
        <v>323</v>
      </c>
      <c r="B324" s="12">
        <v>2023</v>
      </c>
      <c r="C324" s="23" t="s">
        <v>432</v>
      </c>
      <c r="D324" s="13" t="s">
        <v>166</v>
      </c>
      <c r="E324" s="13" t="s">
        <v>56</v>
      </c>
      <c r="F324" s="13" t="s">
        <v>57</v>
      </c>
      <c r="G324" s="13" t="s">
        <v>103</v>
      </c>
      <c r="H324" s="13" t="s">
        <v>18</v>
      </c>
      <c r="I324" s="13" t="s">
        <v>307</v>
      </c>
      <c r="J324" s="13">
        <v>2</v>
      </c>
      <c r="K324" s="13" t="s">
        <v>50</v>
      </c>
      <c r="L324" s="13">
        <v>7</v>
      </c>
      <c r="M324" s="13">
        <v>9</v>
      </c>
      <c r="N324" s="13">
        <v>8</v>
      </c>
      <c r="O324" s="13" t="s">
        <v>312</v>
      </c>
      <c r="P324" s="13">
        <v>9</v>
      </c>
      <c r="Q324" s="13" t="s">
        <v>332</v>
      </c>
      <c r="R324" s="13" t="s">
        <v>33</v>
      </c>
      <c r="S324" s="13">
        <v>9</v>
      </c>
      <c r="T324" s="13" t="s">
        <v>73</v>
      </c>
      <c r="U324" s="13" t="s">
        <v>26</v>
      </c>
      <c r="V324" s="13">
        <v>9</v>
      </c>
      <c r="W324" s="13" t="s">
        <v>428</v>
      </c>
    </row>
    <row r="325" spans="1:23" ht="18.95" customHeight="1">
      <c r="A325" s="7">
        <v>324</v>
      </c>
      <c r="B325" s="8">
        <v>2023</v>
      </c>
      <c r="C325" s="23" t="s">
        <v>432</v>
      </c>
      <c r="D325" s="10" t="s">
        <v>166</v>
      </c>
      <c r="E325" s="10" t="s">
        <v>56</v>
      </c>
      <c r="F325" s="10" t="s">
        <v>57</v>
      </c>
      <c r="G325" s="10" t="s">
        <v>17</v>
      </c>
      <c r="H325" s="10" t="s">
        <v>18</v>
      </c>
      <c r="I325" s="10" t="s">
        <v>49</v>
      </c>
      <c r="J325" s="10">
        <v>7</v>
      </c>
      <c r="K325" s="10" t="s">
        <v>85</v>
      </c>
      <c r="L325" s="10">
        <v>3</v>
      </c>
      <c r="M325" s="10">
        <v>10</v>
      </c>
      <c r="N325" s="10">
        <v>3</v>
      </c>
      <c r="O325" s="10" t="s">
        <v>94</v>
      </c>
      <c r="P325" s="10">
        <v>10</v>
      </c>
      <c r="Q325" s="10" t="s">
        <v>59</v>
      </c>
      <c r="R325" s="10" t="s">
        <v>33</v>
      </c>
      <c r="S325" s="10">
        <v>10</v>
      </c>
      <c r="T325" s="10" t="s">
        <v>61</v>
      </c>
      <c r="U325" s="10" t="s">
        <v>62</v>
      </c>
      <c r="V325" s="10">
        <v>4</v>
      </c>
      <c r="W325" s="10" t="s">
        <v>411</v>
      </c>
    </row>
    <row r="326" spans="1:23" ht="18.95" customHeight="1">
      <c r="A326" s="7">
        <v>325</v>
      </c>
      <c r="B326" s="12">
        <v>2023</v>
      </c>
      <c r="C326" s="23" t="s">
        <v>432</v>
      </c>
      <c r="D326" s="13" t="s">
        <v>30</v>
      </c>
      <c r="E326" s="13" t="s">
        <v>15</v>
      </c>
      <c r="F326" s="13" t="s">
        <v>57</v>
      </c>
      <c r="G326" s="13" t="s">
        <v>17</v>
      </c>
      <c r="H326" s="13" t="s">
        <v>18</v>
      </c>
      <c r="I326" s="13" t="s">
        <v>305</v>
      </c>
      <c r="J326" s="13">
        <v>5</v>
      </c>
      <c r="K326" s="13" t="s">
        <v>20</v>
      </c>
      <c r="L326" s="13">
        <v>7</v>
      </c>
      <c r="M326" s="13">
        <v>6</v>
      </c>
      <c r="N326" s="13">
        <v>9</v>
      </c>
      <c r="O326" s="13" t="s">
        <v>21</v>
      </c>
      <c r="P326" s="13">
        <v>6</v>
      </c>
      <c r="Q326" s="13" t="s">
        <v>22</v>
      </c>
      <c r="R326" s="13" t="s">
        <v>429</v>
      </c>
      <c r="S326" s="13">
        <v>9</v>
      </c>
      <c r="T326" s="13" t="s">
        <v>340</v>
      </c>
      <c r="U326" s="13" t="s">
        <v>54</v>
      </c>
      <c r="V326" s="13">
        <v>9</v>
      </c>
      <c r="W326" s="13" t="s">
        <v>361</v>
      </c>
    </row>
    <row r="327" spans="1:23" ht="18.95" customHeight="1">
      <c r="A327" s="7">
        <v>326</v>
      </c>
      <c r="B327" s="15">
        <v>2023</v>
      </c>
      <c r="C327" s="23" t="s">
        <v>432</v>
      </c>
      <c r="D327" s="16" t="s">
        <v>89</v>
      </c>
      <c r="E327" s="13" t="s">
        <v>90</v>
      </c>
      <c r="F327" s="16" t="s">
        <v>57</v>
      </c>
      <c r="G327" s="13" t="s">
        <v>17</v>
      </c>
      <c r="H327" s="16" t="s">
        <v>18</v>
      </c>
      <c r="I327" s="16" t="s">
        <v>49</v>
      </c>
      <c r="J327" s="16">
        <v>6</v>
      </c>
      <c r="K327" s="13" t="s">
        <v>20</v>
      </c>
      <c r="L327" s="16">
        <v>10</v>
      </c>
      <c r="M327" s="16">
        <v>10</v>
      </c>
      <c r="N327" s="16">
        <v>10</v>
      </c>
      <c r="O327" s="16" t="s">
        <v>21</v>
      </c>
      <c r="P327" s="16">
        <v>3</v>
      </c>
      <c r="Q327" s="16" t="s">
        <v>22</v>
      </c>
      <c r="R327" s="16" t="s">
        <v>33</v>
      </c>
      <c r="S327" s="16">
        <v>8</v>
      </c>
      <c r="T327" s="16" t="s">
        <v>336</v>
      </c>
      <c r="U327" s="16" t="s">
        <v>26</v>
      </c>
      <c r="V327" s="16">
        <v>10</v>
      </c>
      <c r="W327" s="16" t="s">
        <v>66</v>
      </c>
    </row>
    <row r="328" spans="1:23" ht="18.95" customHeight="1">
      <c r="A328" s="7">
        <v>327</v>
      </c>
      <c r="B328" s="17">
        <v>2023</v>
      </c>
      <c r="C328" s="23" t="s">
        <v>432</v>
      </c>
      <c r="D328" s="18" t="s">
        <v>130</v>
      </c>
      <c r="E328" s="10" t="s">
        <v>36</v>
      </c>
      <c r="F328" s="18" t="s">
        <v>57</v>
      </c>
      <c r="G328" s="10" t="s">
        <v>17</v>
      </c>
      <c r="H328" s="18" t="s">
        <v>18</v>
      </c>
      <c r="I328" s="18" t="s">
        <v>307</v>
      </c>
      <c r="J328" s="18">
        <v>5</v>
      </c>
      <c r="K328" s="10" t="s">
        <v>85</v>
      </c>
      <c r="L328" s="18">
        <v>6</v>
      </c>
      <c r="M328" s="18">
        <v>1</v>
      </c>
      <c r="N328" s="18">
        <v>7</v>
      </c>
      <c r="O328" s="18" t="s">
        <v>21</v>
      </c>
      <c r="P328" s="18">
        <v>10</v>
      </c>
      <c r="Q328" s="18" t="s">
        <v>22</v>
      </c>
      <c r="R328" s="18" t="s">
        <v>33</v>
      </c>
      <c r="S328" s="18">
        <v>10</v>
      </c>
      <c r="T328" s="18" t="s">
        <v>296</v>
      </c>
      <c r="U328" s="18" t="s">
        <v>97</v>
      </c>
      <c r="V328" s="18">
        <v>8</v>
      </c>
      <c r="W328" s="18" t="s">
        <v>355</v>
      </c>
    </row>
    <row r="329" spans="1:23" ht="18.95" customHeight="1">
      <c r="A329" s="7">
        <v>328</v>
      </c>
      <c r="B329" s="15">
        <v>2023</v>
      </c>
      <c r="C329" s="23" t="s">
        <v>432</v>
      </c>
      <c r="D329" s="16" t="s">
        <v>14</v>
      </c>
      <c r="E329" s="13" t="s">
        <v>15</v>
      </c>
      <c r="F329" s="16" t="s">
        <v>57</v>
      </c>
      <c r="G329" s="13" t="s">
        <v>103</v>
      </c>
      <c r="H329" s="16" t="s">
        <v>48</v>
      </c>
      <c r="I329" s="16" t="s">
        <v>170</v>
      </c>
      <c r="J329" s="16">
        <v>7</v>
      </c>
      <c r="K329" s="13" t="s">
        <v>93</v>
      </c>
      <c r="L329" s="16">
        <v>7</v>
      </c>
      <c r="M329" s="16">
        <v>9</v>
      </c>
      <c r="N329" s="16">
        <v>9</v>
      </c>
      <c r="O329" s="16" t="s">
        <v>312</v>
      </c>
      <c r="P329" s="16">
        <v>8</v>
      </c>
      <c r="Q329" s="16" t="s">
        <v>125</v>
      </c>
      <c r="R329" s="16" t="s">
        <v>488</v>
      </c>
      <c r="S329" s="16">
        <v>5</v>
      </c>
      <c r="T329" s="16" t="s">
        <v>25</v>
      </c>
      <c r="U329" s="16" t="s">
        <v>40</v>
      </c>
      <c r="V329" s="16">
        <v>1</v>
      </c>
      <c r="W329" s="16" t="s">
        <v>424</v>
      </c>
    </row>
    <row r="330" spans="1:23" ht="18.95" customHeight="1">
      <c r="A330" s="7">
        <v>329</v>
      </c>
      <c r="B330" s="8">
        <v>2024</v>
      </c>
      <c r="C330" s="23" t="s">
        <v>432</v>
      </c>
      <c r="D330" s="10" t="s">
        <v>98</v>
      </c>
      <c r="E330" s="10" t="s">
        <v>15</v>
      </c>
      <c r="F330" s="10" t="s">
        <v>57</v>
      </c>
      <c r="G330" s="10" t="s">
        <v>103</v>
      </c>
      <c r="H330" s="10" t="s">
        <v>18</v>
      </c>
      <c r="I330" s="10" t="s">
        <v>307</v>
      </c>
      <c r="J330" s="10">
        <v>6</v>
      </c>
      <c r="K330" s="10" t="s">
        <v>93</v>
      </c>
      <c r="L330" s="10">
        <v>8</v>
      </c>
      <c r="M330" s="10">
        <v>3</v>
      </c>
      <c r="N330" s="10">
        <v>6</v>
      </c>
      <c r="O330" s="10" t="s">
        <v>21</v>
      </c>
      <c r="P330" s="10">
        <v>10</v>
      </c>
      <c r="Q330" s="10" t="s">
        <v>22</v>
      </c>
      <c r="R330" s="10" t="s">
        <v>51</v>
      </c>
      <c r="S330" s="10">
        <v>7</v>
      </c>
      <c r="T330" s="10" t="s">
        <v>67</v>
      </c>
      <c r="U330" s="10" t="s">
        <v>54</v>
      </c>
      <c r="V330" s="10">
        <v>10</v>
      </c>
      <c r="W330" s="11" t="s">
        <v>355</v>
      </c>
    </row>
    <row r="331" spans="1:23" ht="18.95" customHeight="1">
      <c r="A331" s="7">
        <v>330</v>
      </c>
      <c r="B331" s="12">
        <v>2024</v>
      </c>
      <c r="C331" s="23" t="s">
        <v>432</v>
      </c>
      <c r="D331" s="13" t="s">
        <v>98</v>
      </c>
      <c r="E331" s="13" t="s">
        <v>15</v>
      </c>
      <c r="F331" s="13" t="s">
        <v>57</v>
      </c>
      <c r="G331" s="13" t="s">
        <v>103</v>
      </c>
      <c r="H331" s="13" t="s">
        <v>18</v>
      </c>
      <c r="I331" s="13" t="s">
        <v>170</v>
      </c>
      <c r="J331" s="13">
        <v>6</v>
      </c>
      <c r="K331" s="13" t="s">
        <v>32</v>
      </c>
      <c r="L331" s="13">
        <v>5</v>
      </c>
      <c r="M331" s="13">
        <v>3</v>
      </c>
      <c r="N331" s="13">
        <v>4</v>
      </c>
      <c r="O331" s="13" t="s">
        <v>94</v>
      </c>
      <c r="P331" s="13">
        <v>5</v>
      </c>
      <c r="Q331" s="13" t="s">
        <v>22</v>
      </c>
      <c r="R331" s="13" t="s">
        <v>112</v>
      </c>
      <c r="S331" s="13">
        <v>4</v>
      </c>
      <c r="T331" s="13" t="s">
        <v>34</v>
      </c>
      <c r="U331" s="13" t="s">
        <v>80</v>
      </c>
      <c r="V331" s="13">
        <v>6</v>
      </c>
      <c r="W331" s="14" t="s">
        <v>361</v>
      </c>
    </row>
    <row r="332" spans="1:23" ht="18.95" customHeight="1">
      <c r="A332" s="7">
        <v>331</v>
      </c>
      <c r="B332" s="8">
        <v>2024</v>
      </c>
      <c r="C332" s="23" t="s">
        <v>432</v>
      </c>
      <c r="D332" s="10" t="s">
        <v>98</v>
      </c>
      <c r="E332" s="10" t="s">
        <v>15</v>
      </c>
      <c r="F332" s="10" t="s">
        <v>57</v>
      </c>
      <c r="G332" s="10" t="s">
        <v>17</v>
      </c>
      <c r="H332" s="10" t="s">
        <v>18</v>
      </c>
      <c r="I332" s="10" t="s">
        <v>49</v>
      </c>
      <c r="J332" s="10">
        <v>8</v>
      </c>
      <c r="K332" s="10" t="s">
        <v>32</v>
      </c>
      <c r="L332" s="10">
        <v>7</v>
      </c>
      <c r="M332" s="10">
        <v>5</v>
      </c>
      <c r="N332" s="10">
        <v>8</v>
      </c>
      <c r="O332" s="10" t="s">
        <v>21</v>
      </c>
      <c r="P332" s="10">
        <v>9</v>
      </c>
      <c r="Q332" s="10" t="s">
        <v>22</v>
      </c>
      <c r="R332" s="10" t="s">
        <v>45</v>
      </c>
      <c r="S332" s="10">
        <v>9</v>
      </c>
      <c r="T332" s="10" t="s">
        <v>34</v>
      </c>
      <c r="U332" s="10" t="s">
        <v>97</v>
      </c>
      <c r="V332" s="10">
        <v>9</v>
      </c>
      <c r="W332" s="11" t="s">
        <v>187</v>
      </c>
    </row>
    <row r="333" spans="1:23" ht="18.95" customHeight="1">
      <c r="A333" s="7">
        <v>332</v>
      </c>
      <c r="B333" s="12">
        <v>2024</v>
      </c>
      <c r="C333" s="23" t="s">
        <v>432</v>
      </c>
      <c r="D333" s="13" t="s">
        <v>98</v>
      </c>
      <c r="E333" s="13" t="s">
        <v>15</v>
      </c>
      <c r="F333" s="13" t="s">
        <v>57</v>
      </c>
      <c r="G333" s="13" t="s">
        <v>103</v>
      </c>
      <c r="H333" s="13" t="s">
        <v>18</v>
      </c>
      <c r="I333" s="13" t="s">
        <v>170</v>
      </c>
      <c r="J333" s="13">
        <v>6</v>
      </c>
      <c r="K333" s="13" t="s">
        <v>85</v>
      </c>
      <c r="L333" s="13">
        <v>8</v>
      </c>
      <c r="M333" s="13">
        <v>6</v>
      </c>
      <c r="N333" s="13">
        <v>8</v>
      </c>
      <c r="O333" s="13" t="s">
        <v>21</v>
      </c>
      <c r="P333" s="13">
        <v>9</v>
      </c>
      <c r="Q333" s="13" t="s">
        <v>22</v>
      </c>
      <c r="R333" s="13" t="s">
        <v>224</v>
      </c>
      <c r="S333" s="13">
        <v>6</v>
      </c>
      <c r="T333" s="13" t="s">
        <v>73</v>
      </c>
      <c r="U333" s="13" t="s">
        <v>68</v>
      </c>
      <c r="V333" s="13">
        <v>6</v>
      </c>
      <c r="W333" s="14" t="s">
        <v>355</v>
      </c>
    </row>
    <row r="334" spans="1:23" ht="18.95" customHeight="1">
      <c r="A334" s="7">
        <v>333</v>
      </c>
      <c r="B334" s="8">
        <v>2024</v>
      </c>
      <c r="C334" s="23" t="s">
        <v>432</v>
      </c>
      <c r="D334" s="10" t="s">
        <v>166</v>
      </c>
      <c r="E334" s="10" t="s">
        <v>56</v>
      </c>
      <c r="F334" s="10" t="s">
        <v>16</v>
      </c>
      <c r="G334" s="10" t="s">
        <v>17</v>
      </c>
      <c r="H334" s="10" t="s">
        <v>18</v>
      </c>
      <c r="I334" s="10" t="s">
        <v>305</v>
      </c>
      <c r="J334" s="10">
        <v>7</v>
      </c>
      <c r="K334" s="10" t="s">
        <v>93</v>
      </c>
      <c r="L334" s="10">
        <v>5</v>
      </c>
      <c r="M334" s="10">
        <v>10</v>
      </c>
      <c r="N334" s="10">
        <v>8</v>
      </c>
      <c r="O334" s="10" t="s">
        <v>312</v>
      </c>
      <c r="P334" s="10">
        <v>8</v>
      </c>
      <c r="Q334" s="10" t="s">
        <v>22</v>
      </c>
      <c r="R334" s="10" t="s">
        <v>33</v>
      </c>
      <c r="S334" s="10">
        <v>7</v>
      </c>
      <c r="T334" s="10" t="s">
        <v>61</v>
      </c>
      <c r="U334" s="10" t="s">
        <v>97</v>
      </c>
      <c r="V334" s="10">
        <v>7</v>
      </c>
      <c r="W334" s="11" t="s">
        <v>452</v>
      </c>
    </row>
    <row r="335" spans="1:23" ht="18.95" customHeight="1">
      <c r="A335" s="7">
        <v>334</v>
      </c>
      <c r="B335" s="12">
        <v>2024</v>
      </c>
      <c r="C335" s="23" t="s">
        <v>432</v>
      </c>
      <c r="D335" s="13" t="s">
        <v>89</v>
      </c>
      <c r="E335" s="13" t="s">
        <v>90</v>
      </c>
      <c r="F335" s="13" t="s">
        <v>57</v>
      </c>
      <c r="G335" s="13" t="s">
        <v>17</v>
      </c>
      <c r="H335" s="13" t="s">
        <v>18</v>
      </c>
      <c r="I335" s="13" t="s">
        <v>81</v>
      </c>
      <c r="J335" s="13">
        <v>7</v>
      </c>
      <c r="K335" s="13" t="s">
        <v>20</v>
      </c>
      <c r="L335" s="13">
        <v>7</v>
      </c>
      <c r="M335" s="13">
        <v>10</v>
      </c>
      <c r="N335" s="13">
        <v>7</v>
      </c>
      <c r="O335" s="13" t="s">
        <v>312</v>
      </c>
      <c r="P335" s="13">
        <v>7</v>
      </c>
      <c r="Q335" s="13" t="s">
        <v>22</v>
      </c>
      <c r="R335" s="13" t="s">
        <v>33</v>
      </c>
      <c r="S335" s="13">
        <v>7</v>
      </c>
      <c r="T335" s="13" t="s">
        <v>73</v>
      </c>
      <c r="U335" s="13" t="s">
        <v>26</v>
      </c>
      <c r="V335" s="13">
        <v>9</v>
      </c>
      <c r="W335" s="14" t="s">
        <v>453</v>
      </c>
    </row>
    <row r="336" spans="1:23" ht="18.95" customHeight="1">
      <c r="A336" s="7">
        <v>335</v>
      </c>
      <c r="B336" s="8">
        <v>2024</v>
      </c>
      <c r="C336" s="23" t="s">
        <v>432</v>
      </c>
      <c r="D336" s="10" t="s">
        <v>89</v>
      </c>
      <c r="E336" s="10" t="s">
        <v>90</v>
      </c>
      <c r="F336" s="10" t="s">
        <v>57</v>
      </c>
      <c r="G336" s="10" t="s">
        <v>17</v>
      </c>
      <c r="H336" s="10" t="s">
        <v>18</v>
      </c>
      <c r="I336" s="10" t="s">
        <v>49</v>
      </c>
      <c r="J336" s="10">
        <v>5</v>
      </c>
      <c r="K336" s="10" t="s">
        <v>32</v>
      </c>
      <c r="L336" s="10">
        <v>1</v>
      </c>
      <c r="M336" s="10">
        <v>5</v>
      </c>
      <c r="N336" s="10">
        <v>5</v>
      </c>
      <c r="O336" s="10" t="s">
        <v>21</v>
      </c>
      <c r="P336" s="10">
        <v>6</v>
      </c>
      <c r="Q336" s="10" t="s">
        <v>22</v>
      </c>
      <c r="R336" s="10" t="s">
        <v>33</v>
      </c>
      <c r="S336" s="10">
        <v>6</v>
      </c>
      <c r="T336" s="10" t="s">
        <v>25</v>
      </c>
      <c r="U336" s="10" t="s">
        <v>140</v>
      </c>
      <c r="V336" s="10">
        <v>9</v>
      </c>
      <c r="W336" s="11" t="s">
        <v>361</v>
      </c>
    </row>
    <row r="337" spans="1:23" ht="18.95" customHeight="1">
      <c r="A337" s="7">
        <v>336</v>
      </c>
      <c r="B337" s="12">
        <v>2024</v>
      </c>
      <c r="C337" s="23" t="s">
        <v>432</v>
      </c>
      <c r="D337" s="13" t="s">
        <v>89</v>
      </c>
      <c r="E337" s="13" t="s">
        <v>90</v>
      </c>
      <c r="F337" s="13" t="s">
        <v>57</v>
      </c>
      <c r="G337" s="13" t="s">
        <v>17</v>
      </c>
      <c r="H337" s="13" t="s">
        <v>18</v>
      </c>
      <c r="I337" s="13" t="s">
        <v>170</v>
      </c>
      <c r="J337" s="13">
        <v>7</v>
      </c>
      <c r="K337" s="13" t="s">
        <v>32</v>
      </c>
      <c r="L337" s="13">
        <v>8</v>
      </c>
      <c r="M337" s="13">
        <v>10</v>
      </c>
      <c r="N337" s="13">
        <v>8</v>
      </c>
      <c r="O337" s="13" t="s">
        <v>21</v>
      </c>
      <c r="P337" s="13">
        <v>9</v>
      </c>
      <c r="Q337" s="13" t="s">
        <v>22</v>
      </c>
      <c r="R337" s="13" t="s">
        <v>33</v>
      </c>
      <c r="S337" s="13">
        <v>3</v>
      </c>
      <c r="T337" s="13" t="s">
        <v>34</v>
      </c>
      <c r="U337" s="13" t="s">
        <v>80</v>
      </c>
      <c r="V337" s="13">
        <v>6</v>
      </c>
      <c r="W337" s="14" t="s">
        <v>355</v>
      </c>
    </row>
    <row r="338" spans="1:23" ht="18.95" customHeight="1">
      <c r="A338" s="7">
        <v>337</v>
      </c>
      <c r="B338" s="8">
        <v>2024</v>
      </c>
      <c r="C338" s="23" t="s">
        <v>432</v>
      </c>
      <c r="D338" s="10" t="s">
        <v>132</v>
      </c>
      <c r="E338" s="10" t="s">
        <v>90</v>
      </c>
      <c r="F338" s="10" t="s">
        <v>57</v>
      </c>
      <c r="G338" s="10" t="s">
        <v>17</v>
      </c>
      <c r="H338" s="10" t="s">
        <v>48</v>
      </c>
      <c r="I338" s="10" t="s">
        <v>49</v>
      </c>
      <c r="J338" s="10">
        <v>8</v>
      </c>
      <c r="K338" s="10" t="s">
        <v>93</v>
      </c>
      <c r="L338" s="10">
        <v>7</v>
      </c>
      <c r="M338" s="10">
        <v>9</v>
      </c>
      <c r="N338" s="10">
        <v>1</v>
      </c>
      <c r="O338" s="10" t="s">
        <v>312</v>
      </c>
      <c r="P338" s="10">
        <v>10</v>
      </c>
      <c r="Q338" s="10" t="s">
        <v>22</v>
      </c>
      <c r="R338" s="10" t="s">
        <v>33</v>
      </c>
      <c r="S338" s="10">
        <v>9</v>
      </c>
      <c r="T338" s="10" t="s">
        <v>25</v>
      </c>
      <c r="U338" s="10" t="s">
        <v>97</v>
      </c>
      <c r="V338" s="10">
        <v>9</v>
      </c>
      <c r="W338" s="11" t="s">
        <v>425</v>
      </c>
    </row>
    <row r="339" spans="1:23" ht="18.95" customHeight="1">
      <c r="A339" s="7">
        <v>338</v>
      </c>
      <c r="B339" s="12">
        <v>2024</v>
      </c>
      <c r="C339" s="23" t="s">
        <v>432</v>
      </c>
      <c r="D339" s="13" t="s">
        <v>137</v>
      </c>
      <c r="E339" s="13" t="s">
        <v>42</v>
      </c>
      <c r="F339" s="13" t="s">
        <v>16</v>
      </c>
      <c r="G339" s="13" t="s">
        <v>17</v>
      </c>
      <c r="H339" s="13" t="s">
        <v>18</v>
      </c>
      <c r="I339" s="13" t="s">
        <v>307</v>
      </c>
      <c r="J339" s="13">
        <v>5</v>
      </c>
      <c r="K339" s="13" t="s">
        <v>32</v>
      </c>
      <c r="L339" s="13">
        <v>4</v>
      </c>
      <c r="M339" s="13">
        <v>10</v>
      </c>
      <c r="N339" s="13">
        <v>4</v>
      </c>
      <c r="O339" s="13" t="s">
        <v>312</v>
      </c>
      <c r="P339" s="13">
        <v>5</v>
      </c>
      <c r="Q339" s="13" t="s">
        <v>22</v>
      </c>
      <c r="R339" s="13" t="s">
        <v>117</v>
      </c>
      <c r="S339" s="13">
        <v>5</v>
      </c>
      <c r="T339" s="13" t="s">
        <v>34</v>
      </c>
      <c r="U339" s="13" t="s">
        <v>140</v>
      </c>
      <c r="V339" s="13">
        <v>5</v>
      </c>
      <c r="W339" s="14" t="s">
        <v>316</v>
      </c>
    </row>
    <row r="340" spans="1:23" ht="18.95" customHeight="1">
      <c r="A340" s="7">
        <v>339</v>
      </c>
      <c r="B340" s="8">
        <v>2024</v>
      </c>
      <c r="C340" s="23" t="s">
        <v>432</v>
      </c>
      <c r="D340" s="10" t="s">
        <v>119</v>
      </c>
      <c r="E340" s="10" t="s">
        <v>75</v>
      </c>
      <c r="F340" s="10" t="s">
        <v>16</v>
      </c>
      <c r="G340" s="10" t="s">
        <v>17</v>
      </c>
      <c r="H340" s="10" t="s">
        <v>18</v>
      </c>
      <c r="I340" s="10" t="s">
        <v>49</v>
      </c>
      <c r="J340" s="10">
        <v>8</v>
      </c>
      <c r="K340" s="10" t="s">
        <v>20</v>
      </c>
      <c r="L340" s="10">
        <v>7</v>
      </c>
      <c r="M340" s="10">
        <v>9</v>
      </c>
      <c r="N340" s="10">
        <v>7</v>
      </c>
      <c r="O340" s="10" t="s">
        <v>43</v>
      </c>
      <c r="P340" s="10">
        <v>8</v>
      </c>
      <c r="Q340" s="10" t="s">
        <v>22</v>
      </c>
      <c r="R340" s="10" t="s">
        <v>174</v>
      </c>
      <c r="S340" s="10">
        <v>9</v>
      </c>
      <c r="T340" s="10" t="s">
        <v>34</v>
      </c>
      <c r="U340" s="10" t="s">
        <v>26</v>
      </c>
      <c r="V340" s="10">
        <v>9</v>
      </c>
      <c r="W340" s="11" t="s">
        <v>454</v>
      </c>
    </row>
    <row r="341" spans="1:23" ht="18.95" customHeight="1">
      <c r="A341" s="7">
        <v>340</v>
      </c>
      <c r="B341" s="12">
        <v>2024</v>
      </c>
      <c r="C341" s="23" t="s">
        <v>432</v>
      </c>
      <c r="D341" s="13" t="s">
        <v>215</v>
      </c>
      <c r="E341" s="13" t="s">
        <v>28</v>
      </c>
      <c r="F341" s="13" t="s">
        <v>16</v>
      </c>
      <c r="G341" s="13" t="s">
        <v>17</v>
      </c>
      <c r="H341" s="13" t="s">
        <v>48</v>
      </c>
      <c r="I341" s="13" t="s">
        <v>49</v>
      </c>
      <c r="J341" s="13">
        <v>8</v>
      </c>
      <c r="K341" s="13" t="s">
        <v>85</v>
      </c>
      <c r="L341" s="13">
        <v>9</v>
      </c>
      <c r="M341" s="13">
        <v>8</v>
      </c>
      <c r="N341" s="13">
        <v>9</v>
      </c>
      <c r="O341" s="13" t="s">
        <v>94</v>
      </c>
      <c r="P341" s="13">
        <v>10</v>
      </c>
      <c r="Q341" s="13" t="s">
        <v>22</v>
      </c>
      <c r="R341" s="13" t="s">
        <v>51</v>
      </c>
      <c r="S341" s="13">
        <v>7</v>
      </c>
      <c r="T341" s="13" t="s">
        <v>153</v>
      </c>
      <c r="U341" s="13" t="s">
        <v>97</v>
      </c>
      <c r="V341" s="13">
        <v>8</v>
      </c>
      <c r="W341" s="14" t="s">
        <v>433</v>
      </c>
    </row>
    <row r="342" spans="1:23" ht="18.95" customHeight="1">
      <c r="A342" s="7">
        <v>341</v>
      </c>
      <c r="B342" s="8">
        <v>2024</v>
      </c>
      <c r="C342" s="23" t="s">
        <v>432</v>
      </c>
      <c r="D342" s="10" t="s">
        <v>137</v>
      </c>
      <c r="E342" s="10" t="s">
        <v>42</v>
      </c>
      <c r="F342" s="10" t="s">
        <v>57</v>
      </c>
      <c r="G342" s="10" t="s">
        <v>17</v>
      </c>
      <c r="H342" s="10" t="s">
        <v>18</v>
      </c>
      <c r="I342" s="10" t="s">
        <v>49</v>
      </c>
      <c r="J342" s="10">
        <v>7</v>
      </c>
      <c r="K342" s="10" t="s">
        <v>32</v>
      </c>
      <c r="L342" s="10">
        <v>3</v>
      </c>
      <c r="M342" s="10">
        <v>10</v>
      </c>
      <c r="N342" s="10">
        <v>6</v>
      </c>
      <c r="O342" s="10" t="s">
        <v>43</v>
      </c>
      <c r="P342" s="10">
        <v>8</v>
      </c>
      <c r="Q342" s="10" t="s">
        <v>22</v>
      </c>
      <c r="R342" s="10" t="s">
        <v>431</v>
      </c>
      <c r="S342" s="10">
        <v>8</v>
      </c>
      <c r="T342" s="10" t="s">
        <v>25</v>
      </c>
      <c r="U342" s="10" t="s">
        <v>26</v>
      </c>
      <c r="V342" s="10">
        <v>8</v>
      </c>
      <c r="W342" s="11" t="s">
        <v>355</v>
      </c>
    </row>
    <row r="343" spans="1:23" ht="18.95" customHeight="1">
      <c r="A343" s="7">
        <v>342</v>
      </c>
      <c r="B343" s="12">
        <v>2024</v>
      </c>
      <c r="C343" s="23" t="s">
        <v>432</v>
      </c>
      <c r="D343" s="13" t="s">
        <v>114</v>
      </c>
      <c r="E343" s="13" t="s">
        <v>56</v>
      </c>
      <c r="F343" s="13" t="s">
        <v>16</v>
      </c>
      <c r="G343" s="13" t="s">
        <v>17</v>
      </c>
      <c r="H343" s="13" t="s">
        <v>18</v>
      </c>
      <c r="I343" s="13" t="s">
        <v>170</v>
      </c>
      <c r="J343" s="13">
        <v>3</v>
      </c>
      <c r="K343" s="13" t="s">
        <v>85</v>
      </c>
      <c r="L343" s="13">
        <v>1</v>
      </c>
      <c r="M343" s="13">
        <v>9</v>
      </c>
      <c r="N343" s="13">
        <v>5</v>
      </c>
      <c r="O343" s="13" t="s">
        <v>94</v>
      </c>
      <c r="P343" s="13">
        <v>5</v>
      </c>
      <c r="Q343" s="13" t="s">
        <v>22</v>
      </c>
      <c r="R343" s="13" t="s">
        <v>174</v>
      </c>
      <c r="S343" s="13">
        <v>7</v>
      </c>
      <c r="T343" s="13" t="s">
        <v>34</v>
      </c>
      <c r="U343" s="13" t="s">
        <v>97</v>
      </c>
      <c r="V343" s="13">
        <v>7</v>
      </c>
      <c r="W343" s="14" t="s">
        <v>361</v>
      </c>
    </row>
    <row r="344" spans="1:23" ht="18.95" customHeight="1">
      <c r="A344" s="7">
        <v>343</v>
      </c>
      <c r="B344" s="8">
        <v>2024</v>
      </c>
      <c r="C344" s="23" t="s">
        <v>432</v>
      </c>
      <c r="D344" s="10" t="s">
        <v>203</v>
      </c>
      <c r="E344" s="10" t="s">
        <v>75</v>
      </c>
      <c r="F344" s="10" t="s">
        <v>57</v>
      </c>
      <c r="G344" s="10" t="s">
        <v>17</v>
      </c>
      <c r="H344" s="10" t="s">
        <v>18</v>
      </c>
      <c r="I344" s="10" t="s">
        <v>307</v>
      </c>
      <c r="J344" s="10">
        <v>5</v>
      </c>
      <c r="K344" s="10" t="s">
        <v>85</v>
      </c>
      <c r="L344" s="10">
        <v>7</v>
      </c>
      <c r="M344" s="10">
        <v>9</v>
      </c>
      <c r="N344" s="10">
        <v>8</v>
      </c>
      <c r="O344" s="10" t="s">
        <v>43</v>
      </c>
      <c r="P344" s="10">
        <v>7</v>
      </c>
      <c r="Q344" s="10" t="s">
        <v>22</v>
      </c>
      <c r="R344" s="10" t="s">
        <v>455</v>
      </c>
      <c r="S344" s="10">
        <v>7</v>
      </c>
      <c r="T344" s="10" t="s">
        <v>53</v>
      </c>
      <c r="U344" s="10" t="s">
        <v>26</v>
      </c>
      <c r="V344" s="10">
        <v>10</v>
      </c>
      <c r="W344" s="11" t="s">
        <v>377</v>
      </c>
    </row>
    <row r="345" spans="1:23" ht="18.95" customHeight="1">
      <c r="A345" s="7">
        <v>344</v>
      </c>
      <c r="B345" s="12">
        <v>2024</v>
      </c>
      <c r="C345" s="23" t="s">
        <v>432</v>
      </c>
      <c r="D345" s="13" t="s">
        <v>327</v>
      </c>
      <c r="E345" s="13" t="s">
        <v>87</v>
      </c>
      <c r="F345" s="13" t="s">
        <v>57</v>
      </c>
      <c r="G345" s="13" t="s">
        <v>17</v>
      </c>
      <c r="H345" s="13" t="s">
        <v>18</v>
      </c>
      <c r="I345" s="13" t="s">
        <v>49</v>
      </c>
      <c r="J345" s="13">
        <v>7</v>
      </c>
      <c r="K345" s="13" t="s">
        <v>93</v>
      </c>
      <c r="L345" s="13">
        <v>6</v>
      </c>
      <c r="M345" s="13">
        <v>5</v>
      </c>
      <c r="N345" s="13">
        <v>8</v>
      </c>
      <c r="O345" s="13" t="s">
        <v>21</v>
      </c>
      <c r="P345" s="13">
        <v>9</v>
      </c>
      <c r="Q345" s="13" t="s">
        <v>22</v>
      </c>
      <c r="R345" s="13" t="s">
        <v>112</v>
      </c>
      <c r="S345" s="13">
        <v>7</v>
      </c>
      <c r="T345" s="13" t="s">
        <v>67</v>
      </c>
      <c r="U345" s="13" t="s">
        <v>54</v>
      </c>
      <c r="V345" s="13">
        <v>10</v>
      </c>
      <c r="W345" s="14" t="s">
        <v>343</v>
      </c>
    </row>
    <row r="346" spans="1:23" ht="18.95" customHeight="1">
      <c r="A346" s="7">
        <v>345</v>
      </c>
      <c r="B346" s="8">
        <v>2024</v>
      </c>
      <c r="C346" s="23" t="s">
        <v>432</v>
      </c>
      <c r="D346" s="10" t="s">
        <v>86</v>
      </c>
      <c r="E346" s="10" t="s">
        <v>87</v>
      </c>
      <c r="F346" s="10" t="s">
        <v>57</v>
      </c>
      <c r="G346" s="10" t="s">
        <v>17</v>
      </c>
      <c r="H346" s="10" t="s">
        <v>18</v>
      </c>
      <c r="I346" s="10" t="s">
        <v>76</v>
      </c>
      <c r="J346" s="10">
        <v>5</v>
      </c>
      <c r="K346" s="10" t="s">
        <v>32</v>
      </c>
      <c r="L346" s="10">
        <v>10</v>
      </c>
      <c r="M346" s="10">
        <v>10</v>
      </c>
      <c r="N346" s="10">
        <v>10</v>
      </c>
      <c r="O346" s="10" t="s">
        <v>21</v>
      </c>
      <c r="P346" s="10">
        <v>5</v>
      </c>
      <c r="Q346" s="10" t="s">
        <v>22</v>
      </c>
      <c r="R346" s="10" t="s">
        <v>112</v>
      </c>
      <c r="S346" s="10">
        <v>10</v>
      </c>
      <c r="T346" s="10" t="s">
        <v>34</v>
      </c>
      <c r="U346" s="10" t="s">
        <v>26</v>
      </c>
      <c r="V346" s="10">
        <v>10</v>
      </c>
      <c r="W346" s="11" t="s">
        <v>392</v>
      </c>
    </row>
    <row r="347" spans="1:23" ht="18.95" customHeight="1">
      <c r="A347" s="7">
        <v>346</v>
      </c>
      <c r="B347" s="12">
        <v>2024</v>
      </c>
      <c r="C347" s="23" t="s">
        <v>432</v>
      </c>
      <c r="D347" s="13" t="s">
        <v>89</v>
      </c>
      <c r="E347" s="13" t="s">
        <v>90</v>
      </c>
      <c r="F347" s="13" t="s">
        <v>16</v>
      </c>
      <c r="G347" s="13" t="s">
        <v>103</v>
      </c>
      <c r="H347" s="13" t="s">
        <v>18</v>
      </c>
      <c r="I347" s="13" t="s">
        <v>49</v>
      </c>
      <c r="J347" s="13">
        <v>6</v>
      </c>
      <c r="K347" s="13" t="s">
        <v>85</v>
      </c>
      <c r="L347" s="13">
        <v>5</v>
      </c>
      <c r="M347" s="13">
        <v>7</v>
      </c>
      <c r="N347" s="13">
        <v>6</v>
      </c>
      <c r="O347" s="13" t="s">
        <v>94</v>
      </c>
      <c r="P347" s="13">
        <v>7</v>
      </c>
      <c r="Q347" s="13" t="s">
        <v>22</v>
      </c>
      <c r="R347" s="13" t="s">
        <v>117</v>
      </c>
      <c r="S347" s="13">
        <v>6</v>
      </c>
      <c r="T347" s="13" t="s">
        <v>105</v>
      </c>
      <c r="U347" s="13" t="s">
        <v>62</v>
      </c>
      <c r="V347" s="13">
        <v>6</v>
      </c>
      <c r="W347" s="14" t="s">
        <v>361</v>
      </c>
    </row>
    <row r="348" spans="1:23" ht="18.95" customHeight="1">
      <c r="A348" s="7">
        <v>347</v>
      </c>
      <c r="B348" s="8">
        <v>2024</v>
      </c>
      <c r="C348" s="23" t="s">
        <v>432</v>
      </c>
      <c r="D348" s="10" t="s">
        <v>89</v>
      </c>
      <c r="E348" s="10" t="s">
        <v>90</v>
      </c>
      <c r="F348" s="10" t="s">
        <v>57</v>
      </c>
      <c r="G348" s="10" t="s">
        <v>17</v>
      </c>
      <c r="H348" s="10" t="s">
        <v>18</v>
      </c>
      <c r="I348" s="10" t="s">
        <v>170</v>
      </c>
      <c r="J348" s="10">
        <v>5</v>
      </c>
      <c r="K348" s="10" t="s">
        <v>93</v>
      </c>
      <c r="L348" s="10">
        <v>8</v>
      </c>
      <c r="M348" s="10">
        <v>10</v>
      </c>
      <c r="N348" s="10">
        <v>7</v>
      </c>
      <c r="O348" s="10" t="s">
        <v>43</v>
      </c>
      <c r="P348" s="10">
        <v>7</v>
      </c>
      <c r="Q348" s="10" t="s">
        <v>22</v>
      </c>
      <c r="R348" s="10" t="s">
        <v>45</v>
      </c>
      <c r="S348" s="10">
        <v>7</v>
      </c>
      <c r="T348" s="10" t="s">
        <v>456</v>
      </c>
      <c r="U348" s="10" t="s">
        <v>97</v>
      </c>
      <c r="V348" s="10">
        <v>7</v>
      </c>
      <c r="W348" s="11" t="s">
        <v>298</v>
      </c>
    </row>
    <row r="349" spans="1:23" ht="18.95" customHeight="1">
      <c r="A349" s="7">
        <v>348</v>
      </c>
      <c r="B349" s="12">
        <v>2024</v>
      </c>
      <c r="C349" s="23" t="s">
        <v>432</v>
      </c>
      <c r="D349" s="13" t="s">
        <v>89</v>
      </c>
      <c r="E349" s="13" t="s">
        <v>90</v>
      </c>
      <c r="F349" s="13" t="s">
        <v>57</v>
      </c>
      <c r="G349" s="13" t="s">
        <v>17</v>
      </c>
      <c r="H349" s="13" t="s">
        <v>18</v>
      </c>
      <c r="I349" s="13" t="s">
        <v>49</v>
      </c>
      <c r="J349" s="13">
        <v>8</v>
      </c>
      <c r="K349" s="13" t="s">
        <v>85</v>
      </c>
      <c r="L349" s="13">
        <v>6</v>
      </c>
      <c r="M349" s="13">
        <v>9</v>
      </c>
      <c r="N349" s="13">
        <v>8</v>
      </c>
      <c r="O349" s="13" t="s">
        <v>312</v>
      </c>
      <c r="P349" s="13">
        <v>9</v>
      </c>
      <c r="Q349" s="13" t="s">
        <v>22</v>
      </c>
      <c r="R349" s="13" t="s">
        <v>339</v>
      </c>
      <c r="S349" s="13">
        <v>8</v>
      </c>
      <c r="T349" s="13" t="s">
        <v>153</v>
      </c>
      <c r="U349" s="13" t="s">
        <v>26</v>
      </c>
      <c r="V349" s="13">
        <v>9</v>
      </c>
      <c r="W349" s="14" t="s">
        <v>315</v>
      </c>
    </row>
    <row r="350" spans="1:23" ht="18.95" customHeight="1">
      <c r="A350" s="7">
        <v>349</v>
      </c>
      <c r="B350" s="8">
        <v>2024</v>
      </c>
      <c r="C350" s="23" t="s">
        <v>432</v>
      </c>
      <c r="D350" s="10" t="s">
        <v>119</v>
      </c>
      <c r="E350" s="10" t="s">
        <v>75</v>
      </c>
      <c r="F350" s="10" t="s">
        <v>16</v>
      </c>
      <c r="G350" s="10" t="s">
        <v>17</v>
      </c>
      <c r="H350" s="10" t="s">
        <v>18</v>
      </c>
      <c r="I350" s="10" t="s">
        <v>49</v>
      </c>
      <c r="J350" s="10">
        <v>7</v>
      </c>
      <c r="K350" s="10" t="s">
        <v>50</v>
      </c>
      <c r="L350" s="10">
        <v>8</v>
      </c>
      <c r="M350" s="10">
        <v>10</v>
      </c>
      <c r="N350" s="10">
        <v>9</v>
      </c>
      <c r="O350" s="10" t="s">
        <v>43</v>
      </c>
      <c r="P350" s="10">
        <v>7</v>
      </c>
      <c r="Q350" s="10" t="s">
        <v>22</v>
      </c>
      <c r="R350" s="10" t="s">
        <v>38</v>
      </c>
      <c r="S350" s="10">
        <v>8</v>
      </c>
      <c r="T350" s="10" t="s">
        <v>309</v>
      </c>
      <c r="U350" s="10" t="s">
        <v>26</v>
      </c>
      <c r="V350" s="10">
        <v>9</v>
      </c>
      <c r="W350" s="11" t="s">
        <v>377</v>
      </c>
    </row>
    <row r="351" spans="1:23" ht="18.95" customHeight="1">
      <c r="A351" s="7">
        <v>350</v>
      </c>
      <c r="B351" s="12">
        <v>2024</v>
      </c>
      <c r="C351" s="23" t="s">
        <v>432</v>
      </c>
      <c r="D351" s="13" t="s">
        <v>89</v>
      </c>
      <c r="E351" s="13" t="s">
        <v>90</v>
      </c>
      <c r="F351" s="13" t="s">
        <v>16</v>
      </c>
      <c r="G351" s="13" t="s">
        <v>17</v>
      </c>
      <c r="H351" s="13" t="s">
        <v>18</v>
      </c>
      <c r="I351" s="13" t="s">
        <v>81</v>
      </c>
      <c r="J351" s="13">
        <v>6</v>
      </c>
      <c r="K351" s="13" t="s">
        <v>93</v>
      </c>
      <c r="L351" s="13">
        <v>8</v>
      </c>
      <c r="M351" s="13">
        <v>10</v>
      </c>
      <c r="N351" s="13">
        <v>8</v>
      </c>
      <c r="O351" s="13" t="s">
        <v>312</v>
      </c>
      <c r="P351" s="13">
        <v>8</v>
      </c>
      <c r="Q351" s="13" t="s">
        <v>22</v>
      </c>
      <c r="R351" s="13" t="s">
        <v>38</v>
      </c>
      <c r="S351" s="13">
        <v>8</v>
      </c>
      <c r="T351" s="13" t="s">
        <v>34</v>
      </c>
      <c r="U351" s="13" t="s">
        <v>54</v>
      </c>
      <c r="V351" s="13">
        <v>10</v>
      </c>
      <c r="W351" s="14" t="s">
        <v>352</v>
      </c>
    </row>
    <row r="352" spans="1:23" ht="18.95" customHeight="1">
      <c r="A352" s="7">
        <v>351</v>
      </c>
      <c r="B352" s="8">
        <v>2024</v>
      </c>
      <c r="C352" s="23" t="s">
        <v>432</v>
      </c>
      <c r="D352" s="10" t="s">
        <v>89</v>
      </c>
      <c r="E352" s="10" t="s">
        <v>90</v>
      </c>
      <c r="F352" s="10" t="s">
        <v>57</v>
      </c>
      <c r="G352" s="10" t="s">
        <v>17</v>
      </c>
      <c r="H352" s="10" t="s">
        <v>18</v>
      </c>
      <c r="I352" s="10" t="s">
        <v>305</v>
      </c>
      <c r="J352" s="10">
        <v>8</v>
      </c>
      <c r="K352" s="10" t="s">
        <v>93</v>
      </c>
      <c r="L352" s="10">
        <v>8</v>
      </c>
      <c r="M352" s="10">
        <v>10</v>
      </c>
      <c r="N352" s="10">
        <v>5</v>
      </c>
      <c r="O352" s="10" t="s">
        <v>43</v>
      </c>
      <c r="P352" s="10">
        <v>10</v>
      </c>
      <c r="Q352" s="10" t="s">
        <v>22</v>
      </c>
      <c r="R352" s="10" t="s">
        <v>440</v>
      </c>
      <c r="S352" s="10">
        <v>10</v>
      </c>
      <c r="T352" s="10" t="s">
        <v>251</v>
      </c>
      <c r="U352" s="10" t="s">
        <v>54</v>
      </c>
      <c r="V352" s="10">
        <v>10</v>
      </c>
      <c r="W352" s="11" t="s">
        <v>292</v>
      </c>
    </row>
    <row r="353" spans="1:23" ht="18.95" customHeight="1">
      <c r="A353" s="7">
        <v>352</v>
      </c>
      <c r="B353" s="12">
        <v>2024</v>
      </c>
      <c r="C353" s="23" t="s">
        <v>432</v>
      </c>
      <c r="D353" s="13" t="s">
        <v>46</v>
      </c>
      <c r="E353" s="13" t="s">
        <v>36</v>
      </c>
      <c r="F353" s="13" t="s">
        <v>16</v>
      </c>
      <c r="G353" s="13" t="s">
        <v>17</v>
      </c>
      <c r="H353" s="13" t="s">
        <v>18</v>
      </c>
      <c r="I353" s="13" t="s">
        <v>305</v>
      </c>
      <c r="J353" s="13">
        <v>7</v>
      </c>
      <c r="K353" s="13" t="s">
        <v>85</v>
      </c>
      <c r="L353" s="13">
        <v>7</v>
      </c>
      <c r="M353" s="13">
        <v>9</v>
      </c>
      <c r="N353" s="13">
        <v>7</v>
      </c>
      <c r="O353" s="13" t="s">
        <v>43</v>
      </c>
      <c r="P353" s="13">
        <v>8</v>
      </c>
      <c r="Q353" s="13" t="s">
        <v>22</v>
      </c>
      <c r="R353" s="13" t="s">
        <v>350</v>
      </c>
      <c r="S353" s="13">
        <v>8</v>
      </c>
      <c r="T353" s="13" t="s">
        <v>111</v>
      </c>
      <c r="U353" s="13" t="s">
        <v>97</v>
      </c>
      <c r="V353" s="13">
        <v>7</v>
      </c>
      <c r="W353" s="14" t="s">
        <v>292</v>
      </c>
    </row>
    <row r="354" spans="1:23" ht="18.95" customHeight="1">
      <c r="A354" s="7">
        <v>353</v>
      </c>
      <c r="B354" s="8">
        <v>2024</v>
      </c>
      <c r="C354" s="23" t="s">
        <v>432</v>
      </c>
      <c r="D354" s="10" t="s">
        <v>46</v>
      </c>
      <c r="E354" s="10" t="s">
        <v>36</v>
      </c>
      <c r="F354" s="10" t="s">
        <v>16</v>
      </c>
      <c r="G354" s="10" t="s">
        <v>17</v>
      </c>
      <c r="H354" s="10" t="s">
        <v>18</v>
      </c>
      <c r="I354" s="10" t="s">
        <v>170</v>
      </c>
      <c r="J354" s="10">
        <v>3</v>
      </c>
      <c r="K354" s="10" t="s">
        <v>32</v>
      </c>
      <c r="L354" s="10">
        <v>7</v>
      </c>
      <c r="M354" s="10">
        <v>10</v>
      </c>
      <c r="N354" s="10">
        <v>10</v>
      </c>
      <c r="O354" s="10" t="s">
        <v>21</v>
      </c>
      <c r="P354" s="10">
        <v>10</v>
      </c>
      <c r="Q354" s="10" t="s">
        <v>22</v>
      </c>
      <c r="R354" s="10" t="s">
        <v>458</v>
      </c>
      <c r="S354" s="10">
        <v>5</v>
      </c>
      <c r="T354" s="10" t="s">
        <v>153</v>
      </c>
      <c r="U354" s="10" t="s">
        <v>80</v>
      </c>
      <c r="V354" s="10">
        <v>8</v>
      </c>
      <c r="W354" s="10" t="s">
        <v>348</v>
      </c>
    </row>
    <row r="355" spans="1:23" ht="18.95" customHeight="1">
      <c r="A355" s="7">
        <v>354</v>
      </c>
      <c r="B355" s="12">
        <v>2024</v>
      </c>
      <c r="C355" s="23" t="s">
        <v>432</v>
      </c>
      <c r="D355" s="13" t="s">
        <v>46</v>
      </c>
      <c r="E355" s="13" t="s">
        <v>36</v>
      </c>
      <c r="F355" s="13" t="s">
        <v>57</v>
      </c>
      <c r="G355" s="13" t="s">
        <v>17</v>
      </c>
      <c r="H355" s="13" t="s">
        <v>18</v>
      </c>
      <c r="I355" s="13" t="s">
        <v>170</v>
      </c>
      <c r="J355" s="13">
        <v>3</v>
      </c>
      <c r="K355" s="13" t="s">
        <v>32</v>
      </c>
      <c r="L355" s="13">
        <v>1</v>
      </c>
      <c r="M355" s="13">
        <v>10</v>
      </c>
      <c r="N355" s="13">
        <v>8</v>
      </c>
      <c r="O355" s="13" t="s">
        <v>94</v>
      </c>
      <c r="P355" s="13">
        <v>10</v>
      </c>
      <c r="Q355" s="13" t="s">
        <v>22</v>
      </c>
      <c r="R355" s="13" t="s">
        <v>366</v>
      </c>
      <c r="S355" s="13">
        <v>10</v>
      </c>
      <c r="T355" s="13" t="s">
        <v>124</v>
      </c>
      <c r="U355" s="13" t="s">
        <v>80</v>
      </c>
      <c r="V355" s="13">
        <v>8</v>
      </c>
      <c r="W355" s="13" t="s">
        <v>454</v>
      </c>
    </row>
    <row r="356" spans="1:23" ht="18.95" customHeight="1">
      <c r="A356" s="7">
        <v>355</v>
      </c>
      <c r="B356" s="8">
        <v>2024</v>
      </c>
      <c r="C356" s="23" t="s">
        <v>432</v>
      </c>
      <c r="D356" s="10" t="s">
        <v>89</v>
      </c>
      <c r="E356" s="10" t="s">
        <v>90</v>
      </c>
      <c r="F356" s="10" t="s">
        <v>16</v>
      </c>
      <c r="G356" s="10" t="s">
        <v>17</v>
      </c>
      <c r="H356" s="10" t="s">
        <v>18</v>
      </c>
      <c r="I356" s="10" t="s">
        <v>49</v>
      </c>
      <c r="J356" s="10">
        <v>7</v>
      </c>
      <c r="K356" s="10" t="s">
        <v>32</v>
      </c>
      <c r="L356" s="10">
        <v>5</v>
      </c>
      <c r="M356" s="10">
        <v>6</v>
      </c>
      <c r="N356" s="10">
        <v>7</v>
      </c>
      <c r="O356" s="10" t="s">
        <v>21</v>
      </c>
      <c r="P356" s="10">
        <v>9</v>
      </c>
      <c r="Q356" s="10" t="s">
        <v>22</v>
      </c>
      <c r="R356" s="10" t="s">
        <v>29</v>
      </c>
      <c r="S356" s="10">
        <v>9</v>
      </c>
      <c r="T356" s="10" t="s">
        <v>146</v>
      </c>
      <c r="U356" s="10" t="s">
        <v>140</v>
      </c>
      <c r="V356" s="10">
        <v>9</v>
      </c>
      <c r="W356" s="10" t="s">
        <v>292</v>
      </c>
    </row>
    <row r="357" spans="1:23" ht="18.95" customHeight="1">
      <c r="A357" s="7">
        <v>356</v>
      </c>
      <c r="B357" s="12">
        <v>2024</v>
      </c>
      <c r="C357" s="23" t="s">
        <v>432</v>
      </c>
      <c r="D357" s="13" t="s">
        <v>89</v>
      </c>
      <c r="E357" s="13" t="s">
        <v>90</v>
      </c>
      <c r="F357" s="13" t="s">
        <v>57</v>
      </c>
      <c r="G357" s="13" t="s">
        <v>103</v>
      </c>
      <c r="H357" s="13" t="s">
        <v>18</v>
      </c>
      <c r="I357" s="13" t="s">
        <v>170</v>
      </c>
      <c r="J357" s="13">
        <v>5</v>
      </c>
      <c r="K357" s="13" t="s">
        <v>32</v>
      </c>
      <c r="L357" s="13">
        <v>3</v>
      </c>
      <c r="M357" s="13">
        <v>10</v>
      </c>
      <c r="N357" s="13">
        <v>6</v>
      </c>
      <c r="O357" s="13" t="s">
        <v>312</v>
      </c>
      <c r="P357" s="13">
        <v>5</v>
      </c>
      <c r="Q357" s="13" t="s">
        <v>22</v>
      </c>
      <c r="R357" s="13" t="s">
        <v>33</v>
      </c>
      <c r="S357" s="13">
        <v>5</v>
      </c>
      <c r="T357" s="13" t="s">
        <v>153</v>
      </c>
      <c r="U357" s="13" t="s">
        <v>97</v>
      </c>
      <c r="V357" s="13">
        <v>9</v>
      </c>
      <c r="W357" s="13" t="s">
        <v>361</v>
      </c>
    </row>
    <row r="358" spans="1:23" ht="18.95" customHeight="1">
      <c r="A358" s="7">
        <v>357</v>
      </c>
      <c r="B358" s="8">
        <v>2024</v>
      </c>
      <c r="C358" s="23" t="s">
        <v>432</v>
      </c>
      <c r="D358" s="10" t="s">
        <v>35</v>
      </c>
      <c r="E358" s="10" t="s">
        <v>36</v>
      </c>
      <c r="F358" s="10" t="s">
        <v>16</v>
      </c>
      <c r="G358" s="10" t="s">
        <v>103</v>
      </c>
      <c r="H358" s="10" t="s">
        <v>18</v>
      </c>
      <c r="I358" s="10" t="s">
        <v>19</v>
      </c>
      <c r="J358" s="10">
        <v>6</v>
      </c>
      <c r="K358" s="10" t="s">
        <v>93</v>
      </c>
      <c r="L358" s="10">
        <v>2</v>
      </c>
      <c r="M358" s="10">
        <v>10</v>
      </c>
      <c r="N358" s="10">
        <v>4</v>
      </c>
      <c r="O358" s="10" t="s">
        <v>43</v>
      </c>
      <c r="P358" s="10">
        <v>10</v>
      </c>
      <c r="Q358" s="10" t="s">
        <v>22</v>
      </c>
      <c r="R358" s="10" t="s">
        <v>38</v>
      </c>
      <c r="S358" s="10">
        <v>7</v>
      </c>
      <c r="T358" s="10" t="s">
        <v>311</v>
      </c>
      <c r="U358" s="10" t="s">
        <v>97</v>
      </c>
      <c r="V358" s="10">
        <v>7</v>
      </c>
      <c r="W358" s="10" t="s">
        <v>329</v>
      </c>
    </row>
    <row r="359" spans="1:23" ht="18.95" customHeight="1">
      <c r="A359" s="7">
        <v>358</v>
      </c>
      <c r="B359" s="12">
        <v>2024</v>
      </c>
      <c r="C359" s="23" t="s">
        <v>432</v>
      </c>
      <c r="D359" s="13" t="s">
        <v>14</v>
      </c>
      <c r="E359" s="13" t="s">
        <v>15</v>
      </c>
      <c r="F359" s="13" t="s">
        <v>57</v>
      </c>
      <c r="G359" s="13" t="s">
        <v>103</v>
      </c>
      <c r="H359" s="13" t="s">
        <v>18</v>
      </c>
      <c r="I359" s="13" t="s">
        <v>307</v>
      </c>
      <c r="J359" s="13">
        <v>7</v>
      </c>
      <c r="K359" s="13" t="s">
        <v>93</v>
      </c>
      <c r="L359" s="13">
        <v>4</v>
      </c>
      <c r="M359" s="13">
        <v>10</v>
      </c>
      <c r="N359" s="13">
        <v>5</v>
      </c>
      <c r="O359" s="13" t="s">
        <v>312</v>
      </c>
      <c r="P359" s="13">
        <v>10</v>
      </c>
      <c r="Q359" s="13" t="s">
        <v>22</v>
      </c>
      <c r="R359" s="13" t="s">
        <v>33</v>
      </c>
      <c r="S359" s="13">
        <v>10</v>
      </c>
      <c r="T359" s="13" t="s">
        <v>73</v>
      </c>
      <c r="U359" s="13" t="s">
        <v>97</v>
      </c>
      <c r="V359" s="13">
        <v>6</v>
      </c>
      <c r="W359" s="13" t="s">
        <v>314</v>
      </c>
    </row>
    <row r="360" spans="1:23" ht="18.95" customHeight="1">
      <c r="A360" s="7">
        <v>359</v>
      </c>
      <c r="B360" s="8">
        <v>2024</v>
      </c>
      <c r="C360" s="23" t="s">
        <v>432</v>
      </c>
      <c r="D360" s="10" t="s">
        <v>89</v>
      </c>
      <c r="E360" s="10" t="s">
        <v>90</v>
      </c>
      <c r="F360" s="10" t="s">
        <v>57</v>
      </c>
      <c r="G360" s="10" t="s">
        <v>17</v>
      </c>
      <c r="H360" s="10" t="s">
        <v>18</v>
      </c>
      <c r="I360" s="10" t="s">
        <v>92</v>
      </c>
      <c r="J360" s="10">
        <v>7</v>
      </c>
      <c r="K360" s="10" t="s">
        <v>32</v>
      </c>
      <c r="L360" s="10">
        <v>10</v>
      </c>
      <c r="M360" s="10">
        <v>10</v>
      </c>
      <c r="N360" s="10">
        <v>10</v>
      </c>
      <c r="O360" s="10" t="s">
        <v>21</v>
      </c>
      <c r="P360" s="10">
        <v>7</v>
      </c>
      <c r="Q360" s="10" t="s">
        <v>22</v>
      </c>
      <c r="R360" s="10" t="s">
        <v>33</v>
      </c>
      <c r="S360" s="10">
        <v>1</v>
      </c>
      <c r="T360" s="10" t="s">
        <v>34</v>
      </c>
      <c r="U360" s="10" t="s">
        <v>68</v>
      </c>
      <c r="V360" s="10">
        <v>8</v>
      </c>
      <c r="W360" s="10" t="s">
        <v>459</v>
      </c>
    </row>
    <row r="361" spans="1:23" ht="18.95" customHeight="1">
      <c r="A361" s="7">
        <v>360</v>
      </c>
      <c r="B361" s="12">
        <v>2024</v>
      </c>
      <c r="C361" s="23" t="s">
        <v>432</v>
      </c>
      <c r="D361" s="13" t="s">
        <v>46</v>
      </c>
      <c r="E361" s="13" t="s">
        <v>36</v>
      </c>
      <c r="F361" s="13" t="s">
        <v>57</v>
      </c>
      <c r="G361" s="13" t="s">
        <v>17</v>
      </c>
      <c r="H361" s="13" t="s">
        <v>18</v>
      </c>
      <c r="I361" s="13" t="s">
        <v>92</v>
      </c>
      <c r="J361" s="13">
        <v>6</v>
      </c>
      <c r="K361" s="13" t="s">
        <v>85</v>
      </c>
      <c r="L361" s="13">
        <v>5</v>
      </c>
      <c r="M361" s="13">
        <v>10</v>
      </c>
      <c r="N361" s="13">
        <v>8</v>
      </c>
      <c r="O361" s="13" t="s">
        <v>312</v>
      </c>
      <c r="P361" s="13">
        <v>10</v>
      </c>
      <c r="Q361" s="13" t="s">
        <v>22</v>
      </c>
      <c r="R361" s="13" t="s">
        <v>335</v>
      </c>
      <c r="S361" s="13">
        <v>5</v>
      </c>
      <c r="T361" s="13" t="s">
        <v>34</v>
      </c>
      <c r="U361" s="13" t="s">
        <v>26</v>
      </c>
      <c r="V361" s="13">
        <v>9</v>
      </c>
      <c r="W361" s="13" t="s">
        <v>292</v>
      </c>
    </row>
    <row r="362" spans="1:23" ht="18.95" customHeight="1">
      <c r="A362" s="7">
        <v>361</v>
      </c>
      <c r="B362" s="8">
        <v>2024</v>
      </c>
      <c r="C362" s="23" t="s">
        <v>432</v>
      </c>
      <c r="D362" s="10" t="s">
        <v>46</v>
      </c>
      <c r="E362" s="10" t="s">
        <v>36</v>
      </c>
      <c r="F362" s="10" t="s">
        <v>57</v>
      </c>
      <c r="G362" s="10" t="s">
        <v>17</v>
      </c>
      <c r="H362" s="10" t="s">
        <v>18</v>
      </c>
      <c r="I362" s="10" t="s">
        <v>307</v>
      </c>
      <c r="J362" s="10">
        <v>5</v>
      </c>
      <c r="K362" s="10" t="s">
        <v>32</v>
      </c>
      <c r="L362" s="10">
        <v>2</v>
      </c>
      <c r="M362" s="10">
        <v>8</v>
      </c>
      <c r="N362" s="10">
        <v>3</v>
      </c>
      <c r="O362" s="10" t="s">
        <v>21</v>
      </c>
      <c r="P362" s="10">
        <v>7</v>
      </c>
      <c r="Q362" s="10" t="s">
        <v>22</v>
      </c>
      <c r="R362" s="10" t="s">
        <v>112</v>
      </c>
      <c r="S362" s="10">
        <v>2</v>
      </c>
      <c r="T362" s="10" t="s">
        <v>34</v>
      </c>
      <c r="U362" s="10" t="s">
        <v>140</v>
      </c>
      <c r="V362" s="10">
        <v>7</v>
      </c>
      <c r="W362" s="10" t="s">
        <v>298</v>
      </c>
    </row>
    <row r="363" spans="1:23" ht="18.95" customHeight="1">
      <c r="A363" s="7">
        <v>362</v>
      </c>
      <c r="B363" s="12">
        <v>2024</v>
      </c>
      <c r="C363" s="23" t="s">
        <v>432</v>
      </c>
      <c r="D363" s="13" t="s">
        <v>147</v>
      </c>
      <c r="E363" s="13" t="s">
        <v>36</v>
      </c>
      <c r="F363" s="13" t="s">
        <v>57</v>
      </c>
      <c r="G363" s="13" t="s">
        <v>17</v>
      </c>
      <c r="H363" s="13" t="s">
        <v>18</v>
      </c>
      <c r="I363" s="13" t="s">
        <v>81</v>
      </c>
      <c r="J363" s="13">
        <v>5</v>
      </c>
      <c r="K363" s="13" t="s">
        <v>93</v>
      </c>
      <c r="L363" s="13">
        <v>3</v>
      </c>
      <c r="M363" s="13">
        <v>8</v>
      </c>
      <c r="N363" s="13">
        <v>4</v>
      </c>
      <c r="O363" s="13" t="s">
        <v>43</v>
      </c>
      <c r="P363" s="13">
        <v>8</v>
      </c>
      <c r="Q363" s="13" t="s">
        <v>22</v>
      </c>
      <c r="R363" s="13" t="s">
        <v>38</v>
      </c>
      <c r="S363" s="13">
        <v>10</v>
      </c>
      <c r="T363" s="13" t="s">
        <v>25</v>
      </c>
      <c r="U363" s="13" t="s">
        <v>54</v>
      </c>
      <c r="V363" s="13">
        <v>9</v>
      </c>
      <c r="W363" s="13" t="s">
        <v>292</v>
      </c>
    </row>
    <row r="364" spans="1:23" ht="18.95" customHeight="1">
      <c r="A364" s="7">
        <v>363</v>
      </c>
      <c r="B364" s="8">
        <v>2024</v>
      </c>
      <c r="C364" s="23" t="s">
        <v>432</v>
      </c>
      <c r="D364" s="10" t="s">
        <v>27</v>
      </c>
      <c r="E364" s="10" t="s">
        <v>28</v>
      </c>
      <c r="F364" s="10" t="s">
        <v>16</v>
      </c>
      <c r="G364" s="10" t="s">
        <v>17</v>
      </c>
      <c r="H364" s="10" t="s">
        <v>18</v>
      </c>
      <c r="I364" s="10" t="s">
        <v>31</v>
      </c>
      <c r="J364" s="10">
        <v>7</v>
      </c>
      <c r="K364" s="10" t="s">
        <v>85</v>
      </c>
      <c r="L364" s="10">
        <v>9</v>
      </c>
      <c r="M364" s="10">
        <v>10</v>
      </c>
      <c r="N364" s="10">
        <v>10</v>
      </c>
      <c r="O364" s="10" t="s">
        <v>94</v>
      </c>
      <c r="P364" s="10">
        <v>6</v>
      </c>
      <c r="Q364" s="10" t="s">
        <v>125</v>
      </c>
      <c r="R364" s="10" t="s">
        <v>224</v>
      </c>
      <c r="S364" s="10">
        <v>8</v>
      </c>
      <c r="T364" s="10" t="s">
        <v>34</v>
      </c>
      <c r="U364" s="10" t="s">
        <v>140</v>
      </c>
      <c r="V364" s="10">
        <v>8</v>
      </c>
      <c r="W364" s="10" t="s">
        <v>408</v>
      </c>
    </row>
    <row r="365" spans="1:23" ht="18.95" customHeight="1">
      <c r="A365" s="7">
        <v>364</v>
      </c>
      <c r="B365" s="12">
        <v>2024</v>
      </c>
      <c r="C365" s="23" t="s">
        <v>432</v>
      </c>
      <c r="D365" s="13" t="s">
        <v>89</v>
      </c>
      <c r="E365" s="13" t="s">
        <v>90</v>
      </c>
      <c r="F365" s="13" t="s">
        <v>57</v>
      </c>
      <c r="G365" s="13" t="s">
        <v>17</v>
      </c>
      <c r="H365" s="13" t="s">
        <v>18</v>
      </c>
      <c r="I365" s="13" t="s">
        <v>49</v>
      </c>
      <c r="J365" s="13">
        <v>7</v>
      </c>
      <c r="K365" s="13" t="s">
        <v>85</v>
      </c>
      <c r="L365" s="13">
        <v>8</v>
      </c>
      <c r="M365" s="13">
        <v>7</v>
      </c>
      <c r="N365" s="13">
        <v>9</v>
      </c>
      <c r="O365" s="13" t="s">
        <v>21</v>
      </c>
      <c r="P365" s="13">
        <v>9</v>
      </c>
      <c r="Q365" s="13" t="s">
        <v>22</v>
      </c>
      <c r="R365" s="13" t="s">
        <v>33</v>
      </c>
      <c r="S365" s="13">
        <v>8</v>
      </c>
      <c r="T365" s="13" t="s">
        <v>34</v>
      </c>
      <c r="U365" s="13" t="s">
        <v>97</v>
      </c>
      <c r="V365" s="13">
        <v>8</v>
      </c>
      <c r="W365" s="13" t="s">
        <v>363</v>
      </c>
    </row>
    <row r="366" spans="1:23" ht="18.95" customHeight="1">
      <c r="A366" s="7">
        <v>365</v>
      </c>
      <c r="B366" s="8">
        <v>2024</v>
      </c>
      <c r="C366" s="23" t="s">
        <v>432</v>
      </c>
      <c r="D366" s="10" t="s">
        <v>14</v>
      </c>
      <c r="E366" s="10" t="s">
        <v>15</v>
      </c>
      <c r="F366" s="10" t="s">
        <v>16</v>
      </c>
      <c r="G366" s="10" t="s">
        <v>103</v>
      </c>
      <c r="H366" s="10" t="s">
        <v>48</v>
      </c>
      <c r="I366" s="10" t="s">
        <v>49</v>
      </c>
      <c r="J366" s="10">
        <v>9</v>
      </c>
      <c r="K366" s="10" t="s">
        <v>32</v>
      </c>
      <c r="L366" s="10">
        <v>9</v>
      </c>
      <c r="M366" s="10">
        <v>7</v>
      </c>
      <c r="N366" s="10">
        <v>10</v>
      </c>
      <c r="O366" s="10" t="s">
        <v>43</v>
      </c>
      <c r="P366" s="10">
        <v>8</v>
      </c>
      <c r="Q366" s="10" t="s">
        <v>64</v>
      </c>
      <c r="R366" s="10" t="s">
        <v>174</v>
      </c>
      <c r="S366" s="10">
        <v>1</v>
      </c>
      <c r="T366" s="10" t="s">
        <v>34</v>
      </c>
      <c r="U366" s="10" t="s">
        <v>40</v>
      </c>
      <c r="V366" s="10">
        <v>6</v>
      </c>
      <c r="W366" s="10" t="s">
        <v>411</v>
      </c>
    </row>
    <row r="367" spans="1:23" ht="18.95" customHeight="1">
      <c r="A367" s="7">
        <v>366</v>
      </c>
      <c r="B367" s="12">
        <v>2024</v>
      </c>
      <c r="C367" s="23" t="s">
        <v>432</v>
      </c>
      <c r="D367" s="13" t="s">
        <v>203</v>
      </c>
      <c r="E367" s="13" t="s">
        <v>75</v>
      </c>
      <c r="F367" s="13" t="s">
        <v>16</v>
      </c>
      <c r="G367" s="13" t="s">
        <v>17</v>
      </c>
      <c r="H367" s="13" t="s">
        <v>18</v>
      </c>
      <c r="I367" s="13" t="s">
        <v>49</v>
      </c>
      <c r="J367" s="13">
        <v>8</v>
      </c>
      <c r="K367" s="13" t="s">
        <v>93</v>
      </c>
      <c r="L367" s="13">
        <v>5</v>
      </c>
      <c r="M367" s="13">
        <v>8</v>
      </c>
      <c r="N367" s="13">
        <v>4</v>
      </c>
      <c r="O367" s="13" t="s">
        <v>94</v>
      </c>
      <c r="P367" s="13">
        <v>10</v>
      </c>
      <c r="Q367" s="13" t="s">
        <v>125</v>
      </c>
      <c r="R367" s="13" t="s">
        <v>51</v>
      </c>
      <c r="S367" s="13">
        <v>8</v>
      </c>
      <c r="T367" s="13" t="s">
        <v>105</v>
      </c>
      <c r="U367" s="13" t="s">
        <v>68</v>
      </c>
      <c r="V367" s="13">
        <v>8</v>
      </c>
      <c r="W367" s="13" t="s">
        <v>329</v>
      </c>
    </row>
    <row r="368" spans="1:23" ht="18.95" customHeight="1">
      <c r="A368" s="7">
        <v>367</v>
      </c>
      <c r="B368" s="8">
        <v>2024</v>
      </c>
      <c r="C368" s="23" t="s">
        <v>432</v>
      </c>
      <c r="D368" s="10" t="s">
        <v>203</v>
      </c>
      <c r="E368" s="10" t="s">
        <v>75</v>
      </c>
      <c r="F368" s="10" t="s">
        <v>57</v>
      </c>
      <c r="G368" s="10" t="s">
        <v>17</v>
      </c>
      <c r="H368" s="10" t="s">
        <v>18</v>
      </c>
      <c r="I368" s="10" t="s">
        <v>307</v>
      </c>
      <c r="J368" s="10">
        <v>7</v>
      </c>
      <c r="K368" s="10" t="s">
        <v>93</v>
      </c>
      <c r="L368" s="10">
        <v>7</v>
      </c>
      <c r="M368" s="10">
        <v>9</v>
      </c>
      <c r="N368" s="10">
        <v>8</v>
      </c>
      <c r="O368" s="10" t="s">
        <v>94</v>
      </c>
      <c r="P368" s="10">
        <v>7</v>
      </c>
      <c r="Q368" s="10" t="s">
        <v>116</v>
      </c>
      <c r="R368" s="10" t="s">
        <v>112</v>
      </c>
      <c r="S368" s="10">
        <v>8</v>
      </c>
      <c r="T368" s="10" t="s">
        <v>67</v>
      </c>
      <c r="U368" s="10" t="s">
        <v>80</v>
      </c>
      <c r="V368" s="10">
        <v>9</v>
      </c>
      <c r="W368" s="10" t="s">
        <v>361</v>
      </c>
    </row>
    <row r="369" spans="1:23" ht="18.95" customHeight="1">
      <c r="A369" s="7">
        <v>368</v>
      </c>
      <c r="B369" s="12">
        <v>2024</v>
      </c>
      <c r="C369" s="23" t="s">
        <v>432</v>
      </c>
      <c r="D369" s="13" t="s">
        <v>55</v>
      </c>
      <c r="E369" s="13" t="s">
        <v>56</v>
      </c>
      <c r="F369" s="13" t="s">
        <v>57</v>
      </c>
      <c r="G369" s="13" t="s">
        <v>47</v>
      </c>
      <c r="H369" s="13" t="s">
        <v>18</v>
      </c>
      <c r="I369" s="13" t="s">
        <v>19</v>
      </c>
      <c r="J369" s="13">
        <v>7</v>
      </c>
      <c r="K369" s="13" t="s">
        <v>32</v>
      </c>
      <c r="L369" s="13">
        <v>8</v>
      </c>
      <c r="M369" s="13">
        <v>10</v>
      </c>
      <c r="N369" s="13">
        <v>10</v>
      </c>
      <c r="O369" s="13" t="s">
        <v>21</v>
      </c>
      <c r="P369" s="13">
        <v>6</v>
      </c>
      <c r="Q369" s="13" t="s">
        <v>64</v>
      </c>
      <c r="R369" s="13" t="s">
        <v>45</v>
      </c>
      <c r="S369" s="13">
        <v>10</v>
      </c>
      <c r="T369" s="13" t="s">
        <v>294</v>
      </c>
      <c r="U369" s="13" t="s">
        <v>140</v>
      </c>
      <c r="V369" s="13">
        <v>8</v>
      </c>
      <c r="W369" s="13" t="s">
        <v>321</v>
      </c>
    </row>
    <row r="370" spans="1:23" ht="18.95" customHeight="1">
      <c r="A370" s="7">
        <v>369</v>
      </c>
      <c r="B370" s="8">
        <v>2024</v>
      </c>
      <c r="C370" s="23" t="s">
        <v>432</v>
      </c>
      <c r="D370" s="10" t="s">
        <v>102</v>
      </c>
      <c r="E370" s="10" t="s">
        <v>36</v>
      </c>
      <c r="F370" s="10" t="s">
        <v>16</v>
      </c>
      <c r="G370" s="10" t="s">
        <v>103</v>
      </c>
      <c r="H370" s="10" t="s">
        <v>18</v>
      </c>
      <c r="I370" s="10" t="s">
        <v>49</v>
      </c>
      <c r="J370" s="10">
        <v>7</v>
      </c>
      <c r="K370" s="10" t="s">
        <v>85</v>
      </c>
      <c r="L370" s="10">
        <v>9</v>
      </c>
      <c r="M370" s="10">
        <v>10</v>
      </c>
      <c r="N370" s="10">
        <v>10</v>
      </c>
      <c r="O370" s="10" t="s">
        <v>21</v>
      </c>
      <c r="P370" s="10">
        <v>3</v>
      </c>
      <c r="Q370" s="10" t="s">
        <v>64</v>
      </c>
      <c r="R370" s="10" t="s">
        <v>29</v>
      </c>
      <c r="S370" s="10">
        <v>9</v>
      </c>
      <c r="T370" s="10" t="s">
        <v>153</v>
      </c>
      <c r="U370" s="10" t="s">
        <v>62</v>
      </c>
      <c r="V370" s="10">
        <v>7</v>
      </c>
      <c r="W370" s="10" t="s">
        <v>361</v>
      </c>
    </row>
    <row r="371" spans="1:23" ht="18.95" customHeight="1">
      <c r="A371" s="7">
        <v>370</v>
      </c>
      <c r="B371" s="12">
        <v>2024</v>
      </c>
      <c r="C371" s="23" t="s">
        <v>432</v>
      </c>
      <c r="D371" s="13" t="s">
        <v>203</v>
      </c>
      <c r="E371" s="13" t="s">
        <v>75</v>
      </c>
      <c r="F371" s="13" t="s">
        <v>57</v>
      </c>
      <c r="G371" s="13" t="s">
        <v>17</v>
      </c>
      <c r="H371" s="13" t="s">
        <v>18</v>
      </c>
      <c r="I371" s="13" t="s">
        <v>307</v>
      </c>
      <c r="J371" s="13">
        <v>4</v>
      </c>
      <c r="K371" s="13" t="s">
        <v>32</v>
      </c>
      <c r="L371" s="13">
        <v>5</v>
      </c>
      <c r="M371" s="13">
        <v>1</v>
      </c>
      <c r="N371" s="13">
        <v>7</v>
      </c>
      <c r="O371" s="13" t="s">
        <v>21</v>
      </c>
      <c r="P371" s="13">
        <v>10</v>
      </c>
      <c r="Q371" s="13" t="s">
        <v>22</v>
      </c>
      <c r="R371" s="13" t="s">
        <v>51</v>
      </c>
      <c r="S371" s="13">
        <v>8</v>
      </c>
      <c r="T371" s="13" t="s">
        <v>34</v>
      </c>
      <c r="U371" s="13" t="s">
        <v>26</v>
      </c>
      <c r="V371" s="13">
        <v>10</v>
      </c>
      <c r="W371" s="13" t="s">
        <v>460</v>
      </c>
    </row>
    <row r="372" spans="1:23" ht="18.95" customHeight="1">
      <c r="A372" s="7">
        <v>371</v>
      </c>
      <c r="B372" s="8">
        <v>2024</v>
      </c>
      <c r="C372" s="23" t="s">
        <v>432</v>
      </c>
      <c r="D372" s="10" t="s">
        <v>35</v>
      </c>
      <c r="E372" s="10" t="s">
        <v>36</v>
      </c>
      <c r="F372" s="10" t="s">
        <v>57</v>
      </c>
      <c r="G372" s="10" t="s">
        <v>17</v>
      </c>
      <c r="H372" s="10" t="s">
        <v>18</v>
      </c>
      <c r="I372" s="10" t="s">
        <v>307</v>
      </c>
      <c r="J372" s="10">
        <v>10</v>
      </c>
      <c r="K372" s="10" t="s">
        <v>85</v>
      </c>
      <c r="L372" s="10">
        <v>1</v>
      </c>
      <c r="M372" s="10">
        <v>10</v>
      </c>
      <c r="N372" s="10">
        <v>1</v>
      </c>
      <c r="O372" s="10" t="s">
        <v>21</v>
      </c>
      <c r="P372" s="10">
        <v>10</v>
      </c>
      <c r="Q372" s="10" t="s">
        <v>22</v>
      </c>
      <c r="R372" s="10" t="s">
        <v>174</v>
      </c>
      <c r="S372" s="10">
        <v>5</v>
      </c>
      <c r="T372" s="10" t="s">
        <v>25</v>
      </c>
      <c r="U372" s="10" t="s">
        <v>62</v>
      </c>
      <c r="V372" s="10">
        <v>5</v>
      </c>
      <c r="W372" s="10" t="s">
        <v>372</v>
      </c>
    </row>
    <row r="373" spans="1:23" ht="18.95" customHeight="1">
      <c r="A373" s="7">
        <v>372</v>
      </c>
      <c r="B373" s="12">
        <v>2024</v>
      </c>
      <c r="C373" s="23" t="s">
        <v>432</v>
      </c>
      <c r="D373" s="13" t="s">
        <v>89</v>
      </c>
      <c r="E373" s="13" t="s">
        <v>90</v>
      </c>
      <c r="F373" s="13" t="s">
        <v>57</v>
      </c>
      <c r="G373" s="13" t="s">
        <v>17</v>
      </c>
      <c r="H373" s="13" t="s">
        <v>18</v>
      </c>
      <c r="I373" s="13" t="s">
        <v>19</v>
      </c>
      <c r="J373" s="13">
        <v>3</v>
      </c>
      <c r="K373" s="13" t="s">
        <v>93</v>
      </c>
      <c r="L373" s="13">
        <v>4</v>
      </c>
      <c r="M373" s="13">
        <v>5</v>
      </c>
      <c r="N373" s="13">
        <v>5</v>
      </c>
      <c r="O373" s="13" t="s">
        <v>312</v>
      </c>
      <c r="P373" s="13">
        <v>10</v>
      </c>
      <c r="Q373" s="13" t="s">
        <v>22</v>
      </c>
      <c r="R373" s="13" t="s">
        <v>51</v>
      </c>
      <c r="S373" s="13">
        <v>7</v>
      </c>
      <c r="T373" s="13" t="s">
        <v>124</v>
      </c>
      <c r="U373" s="13" t="s">
        <v>80</v>
      </c>
      <c r="V373" s="13">
        <v>8</v>
      </c>
      <c r="W373" s="13" t="s">
        <v>362</v>
      </c>
    </row>
    <row r="374" spans="1:23" ht="18.95" customHeight="1">
      <c r="A374" s="7">
        <v>373</v>
      </c>
      <c r="B374" s="8">
        <v>2024</v>
      </c>
      <c r="C374" s="23" t="s">
        <v>432</v>
      </c>
      <c r="D374" s="10" t="s">
        <v>89</v>
      </c>
      <c r="E374" s="10" t="s">
        <v>90</v>
      </c>
      <c r="F374" s="10" t="s">
        <v>57</v>
      </c>
      <c r="G374" s="10" t="s">
        <v>17</v>
      </c>
      <c r="H374" s="10" t="s">
        <v>18</v>
      </c>
      <c r="I374" s="10" t="s">
        <v>170</v>
      </c>
      <c r="J374" s="10">
        <v>4</v>
      </c>
      <c r="K374" s="10" t="s">
        <v>50</v>
      </c>
      <c r="L374" s="10">
        <v>10</v>
      </c>
      <c r="M374" s="10">
        <v>10</v>
      </c>
      <c r="N374" s="10">
        <v>10</v>
      </c>
      <c r="O374" s="10" t="s">
        <v>94</v>
      </c>
      <c r="P374" s="10">
        <v>7</v>
      </c>
      <c r="Q374" s="10" t="s">
        <v>22</v>
      </c>
      <c r="R374" s="10" t="s">
        <v>112</v>
      </c>
      <c r="S374" s="10">
        <v>10</v>
      </c>
      <c r="T374" s="10" t="s">
        <v>53</v>
      </c>
      <c r="U374" s="10" t="s">
        <v>26</v>
      </c>
      <c r="V374" s="10">
        <v>10</v>
      </c>
      <c r="W374" s="10" t="s">
        <v>422</v>
      </c>
    </row>
    <row r="375" spans="1:23" ht="18.95" customHeight="1">
      <c r="A375" s="7">
        <v>374</v>
      </c>
      <c r="B375" s="12">
        <v>2024</v>
      </c>
      <c r="C375" s="23" t="s">
        <v>432</v>
      </c>
      <c r="D375" s="13" t="s">
        <v>166</v>
      </c>
      <c r="E375" s="13" t="s">
        <v>56</v>
      </c>
      <c r="F375" s="13" t="s">
        <v>57</v>
      </c>
      <c r="G375" s="13" t="s">
        <v>17</v>
      </c>
      <c r="H375" s="13" t="s">
        <v>18</v>
      </c>
      <c r="I375" s="13" t="s">
        <v>49</v>
      </c>
      <c r="J375" s="13">
        <v>7</v>
      </c>
      <c r="K375" s="13" t="s">
        <v>93</v>
      </c>
      <c r="L375" s="13">
        <v>9</v>
      </c>
      <c r="M375" s="13">
        <v>10</v>
      </c>
      <c r="N375" s="13">
        <v>10</v>
      </c>
      <c r="O375" s="13" t="s">
        <v>94</v>
      </c>
      <c r="P375" s="13">
        <v>10</v>
      </c>
      <c r="Q375" s="13" t="s">
        <v>22</v>
      </c>
      <c r="R375" s="13" t="s">
        <v>33</v>
      </c>
      <c r="S375" s="13">
        <v>9</v>
      </c>
      <c r="T375" s="13" t="s">
        <v>73</v>
      </c>
      <c r="U375" s="13" t="s">
        <v>80</v>
      </c>
      <c r="V375" s="13">
        <v>8</v>
      </c>
      <c r="W375" s="13" t="s">
        <v>355</v>
      </c>
    </row>
    <row r="376" spans="1:23" ht="18.95" customHeight="1">
      <c r="A376" s="7">
        <v>375</v>
      </c>
      <c r="B376" s="8">
        <v>2024</v>
      </c>
      <c r="C376" s="23" t="s">
        <v>432</v>
      </c>
      <c r="D376" s="10" t="s">
        <v>89</v>
      </c>
      <c r="E376" s="10" t="s">
        <v>90</v>
      </c>
      <c r="F376" s="10" t="s">
        <v>57</v>
      </c>
      <c r="G376" s="10" t="s">
        <v>103</v>
      </c>
      <c r="H376" s="10" t="s">
        <v>18</v>
      </c>
      <c r="I376" s="10" t="s">
        <v>170</v>
      </c>
      <c r="J376" s="10">
        <v>6</v>
      </c>
      <c r="K376" s="10" t="s">
        <v>93</v>
      </c>
      <c r="L376" s="10">
        <v>9</v>
      </c>
      <c r="M376" s="10">
        <v>6</v>
      </c>
      <c r="N376" s="10">
        <v>10</v>
      </c>
      <c r="O376" s="10" t="s">
        <v>94</v>
      </c>
      <c r="P376" s="10">
        <v>10</v>
      </c>
      <c r="Q376" s="10" t="s">
        <v>22</v>
      </c>
      <c r="R376" s="10" t="s">
        <v>33</v>
      </c>
      <c r="S376" s="10">
        <v>8</v>
      </c>
      <c r="T376" s="10" t="s">
        <v>324</v>
      </c>
      <c r="U376" s="10" t="s">
        <v>26</v>
      </c>
      <c r="V376" s="10">
        <v>10</v>
      </c>
      <c r="W376" s="10" t="s">
        <v>355</v>
      </c>
    </row>
    <row r="377" spans="1:23" ht="18.95" customHeight="1">
      <c r="A377" s="7">
        <v>376</v>
      </c>
      <c r="B377" s="12">
        <v>2024</v>
      </c>
      <c r="C377" s="23" t="s">
        <v>432</v>
      </c>
      <c r="D377" s="13" t="s">
        <v>166</v>
      </c>
      <c r="E377" s="13" t="s">
        <v>56</v>
      </c>
      <c r="F377" s="13" t="s">
        <v>57</v>
      </c>
      <c r="G377" s="13" t="s">
        <v>103</v>
      </c>
      <c r="H377" s="13" t="s">
        <v>18</v>
      </c>
      <c r="I377" s="13" t="s">
        <v>170</v>
      </c>
      <c r="J377" s="13">
        <v>7</v>
      </c>
      <c r="K377" s="13" t="s">
        <v>93</v>
      </c>
      <c r="L377" s="13">
        <v>8</v>
      </c>
      <c r="M377" s="13">
        <v>5</v>
      </c>
      <c r="N377" s="13">
        <v>9</v>
      </c>
      <c r="O377" s="13" t="s">
        <v>94</v>
      </c>
      <c r="P377" s="13">
        <v>6</v>
      </c>
      <c r="Q377" s="13" t="s">
        <v>22</v>
      </c>
      <c r="R377" s="13" t="s">
        <v>29</v>
      </c>
      <c r="S377" s="13">
        <v>7</v>
      </c>
      <c r="T377" s="13" t="s">
        <v>25</v>
      </c>
      <c r="U377" s="13" t="s">
        <v>62</v>
      </c>
      <c r="V377" s="13">
        <v>9</v>
      </c>
      <c r="W377" s="13" t="s">
        <v>337</v>
      </c>
    </row>
    <row r="378" spans="1:23" ht="18.95" customHeight="1">
      <c r="A378" s="7">
        <v>377</v>
      </c>
      <c r="B378" s="8">
        <v>2024</v>
      </c>
      <c r="C378" s="23" t="s">
        <v>432</v>
      </c>
      <c r="D378" s="10" t="s">
        <v>102</v>
      </c>
      <c r="E378" s="10" t="s">
        <v>36</v>
      </c>
      <c r="F378" s="10" t="s">
        <v>57</v>
      </c>
      <c r="G378" s="10" t="s">
        <v>17</v>
      </c>
      <c r="H378" s="10" t="s">
        <v>18</v>
      </c>
      <c r="I378" s="10" t="s">
        <v>49</v>
      </c>
      <c r="J378" s="10">
        <v>7</v>
      </c>
      <c r="K378" s="10" t="s">
        <v>93</v>
      </c>
      <c r="L378" s="10">
        <v>8</v>
      </c>
      <c r="M378" s="10">
        <v>5</v>
      </c>
      <c r="N378" s="10">
        <v>7</v>
      </c>
      <c r="O378" s="10" t="s">
        <v>94</v>
      </c>
      <c r="P378" s="10">
        <v>9</v>
      </c>
      <c r="Q378" s="10" t="s">
        <v>22</v>
      </c>
      <c r="R378" s="10" t="s">
        <v>442</v>
      </c>
      <c r="S378" s="10">
        <v>8</v>
      </c>
      <c r="T378" s="10" t="s">
        <v>34</v>
      </c>
      <c r="U378" s="10" t="s">
        <v>26</v>
      </c>
      <c r="V378" s="10">
        <v>8</v>
      </c>
      <c r="W378" s="10" t="s">
        <v>425</v>
      </c>
    </row>
    <row r="379" spans="1:23" ht="18.95" customHeight="1">
      <c r="A379" s="7">
        <v>378</v>
      </c>
      <c r="B379" s="17">
        <v>2024</v>
      </c>
      <c r="C379" s="23" t="s">
        <v>432</v>
      </c>
      <c r="D379" s="18" t="s">
        <v>137</v>
      </c>
      <c r="E379" s="10" t="s">
        <v>42</v>
      </c>
      <c r="F379" s="18" t="s">
        <v>57</v>
      </c>
      <c r="G379" s="10" t="s">
        <v>47</v>
      </c>
      <c r="H379" s="18" t="s">
        <v>18</v>
      </c>
      <c r="I379" s="18" t="s">
        <v>307</v>
      </c>
      <c r="J379" s="18">
        <v>7</v>
      </c>
      <c r="K379" s="10" t="s">
        <v>50</v>
      </c>
      <c r="L379" s="18">
        <v>9</v>
      </c>
      <c r="M379" s="18">
        <v>9</v>
      </c>
      <c r="N379" s="18">
        <v>5</v>
      </c>
      <c r="O379" s="18" t="s">
        <v>312</v>
      </c>
      <c r="P379" s="18">
        <v>10</v>
      </c>
      <c r="Q379" s="18" t="s">
        <v>22</v>
      </c>
      <c r="R379" s="18" t="s">
        <v>426</v>
      </c>
      <c r="S379" s="18">
        <v>8</v>
      </c>
      <c r="T379" s="18" t="s">
        <v>61</v>
      </c>
      <c r="U379" s="18" t="s">
        <v>54</v>
      </c>
      <c r="V379" s="18">
        <v>10</v>
      </c>
      <c r="W379" s="18" t="s">
        <v>354</v>
      </c>
    </row>
    <row r="380" spans="1:23" ht="18.95" customHeight="1">
      <c r="A380" s="7">
        <v>379</v>
      </c>
      <c r="B380" s="15">
        <v>2024</v>
      </c>
      <c r="C380" s="23" t="s">
        <v>432</v>
      </c>
      <c r="D380" s="16" t="s">
        <v>89</v>
      </c>
      <c r="E380" s="13" t="s">
        <v>90</v>
      </c>
      <c r="F380" s="16" t="s">
        <v>57</v>
      </c>
      <c r="G380" s="13" t="s">
        <v>17</v>
      </c>
      <c r="H380" s="16" t="s">
        <v>18</v>
      </c>
      <c r="I380" s="16" t="s">
        <v>305</v>
      </c>
      <c r="J380" s="16">
        <v>5</v>
      </c>
      <c r="K380" s="13" t="s">
        <v>93</v>
      </c>
      <c r="L380" s="16">
        <v>8</v>
      </c>
      <c r="M380" s="16">
        <v>10</v>
      </c>
      <c r="N380" s="16">
        <v>6</v>
      </c>
      <c r="O380" s="16" t="s">
        <v>312</v>
      </c>
      <c r="P380" s="16">
        <v>7</v>
      </c>
      <c r="Q380" s="16" t="s">
        <v>22</v>
      </c>
      <c r="R380" s="16" t="s">
        <v>174</v>
      </c>
      <c r="S380" s="16">
        <v>10</v>
      </c>
      <c r="T380" s="16" t="s">
        <v>34</v>
      </c>
      <c r="U380" s="16" t="s">
        <v>54</v>
      </c>
      <c r="V380" s="16">
        <v>9</v>
      </c>
      <c r="W380" s="16" t="s">
        <v>463</v>
      </c>
    </row>
    <row r="381" spans="1:23" ht="18.95" customHeight="1">
      <c r="A381" s="7">
        <v>380</v>
      </c>
      <c r="B381" s="15">
        <v>2024</v>
      </c>
      <c r="C381" s="23" t="s">
        <v>432</v>
      </c>
      <c r="D381" s="16" t="s">
        <v>41</v>
      </c>
      <c r="E381" s="13" t="s">
        <v>42</v>
      </c>
      <c r="F381" s="16" t="s">
        <v>16</v>
      </c>
      <c r="G381" s="13" t="s">
        <v>47</v>
      </c>
      <c r="H381" s="16" t="s">
        <v>18</v>
      </c>
      <c r="I381" s="16" t="s">
        <v>81</v>
      </c>
      <c r="J381" s="16">
        <v>5</v>
      </c>
      <c r="K381" s="13" t="s">
        <v>85</v>
      </c>
      <c r="L381" s="16">
        <v>4</v>
      </c>
      <c r="M381" s="16">
        <v>10</v>
      </c>
      <c r="N381" s="16">
        <v>8</v>
      </c>
      <c r="O381" s="16" t="s">
        <v>21</v>
      </c>
      <c r="P381" s="16">
        <v>7</v>
      </c>
      <c r="Q381" s="16" t="s">
        <v>22</v>
      </c>
      <c r="R381" s="16" t="s">
        <v>33</v>
      </c>
      <c r="S381" s="16">
        <v>10</v>
      </c>
      <c r="T381" s="16" t="s">
        <v>73</v>
      </c>
      <c r="U381" s="16" t="s">
        <v>26</v>
      </c>
      <c r="V381" s="16">
        <v>10</v>
      </c>
      <c r="W381" s="16" t="s">
        <v>357</v>
      </c>
    </row>
    <row r="382" spans="1:23" ht="18.95" customHeight="1">
      <c r="A382" s="7">
        <v>381</v>
      </c>
      <c r="B382" s="15">
        <v>2024</v>
      </c>
      <c r="C382" s="23" t="s">
        <v>432</v>
      </c>
      <c r="D382" s="16" t="s">
        <v>55</v>
      </c>
      <c r="E382" s="13" t="s">
        <v>56</v>
      </c>
      <c r="F382" s="16" t="s">
        <v>57</v>
      </c>
      <c r="G382" s="13" t="s">
        <v>47</v>
      </c>
      <c r="H382" s="16" t="s">
        <v>18</v>
      </c>
      <c r="I382" s="16" t="s">
        <v>307</v>
      </c>
      <c r="J382" s="16">
        <v>10</v>
      </c>
      <c r="K382" s="13" t="s">
        <v>20</v>
      </c>
      <c r="L382" s="16">
        <v>4</v>
      </c>
      <c r="M382" s="16">
        <v>1</v>
      </c>
      <c r="N382" s="16">
        <v>1</v>
      </c>
      <c r="O382" s="16" t="s">
        <v>43</v>
      </c>
      <c r="P382" s="16">
        <v>10</v>
      </c>
      <c r="Q382" s="16" t="s">
        <v>64</v>
      </c>
      <c r="R382" s="16" t="s">
        <v>466</v>
      </c>
      <c r="S382" s="16">
        <v>5</v>
      </c>
      <c r="T382" s="16" t="s">
        <v>53</v>
      </c>
      <c r="U382" s="16" t="s">
        <v>54</v>
      </c>
      <c r="V382" s="16">
        <v>3</v>
      </c>
      <c r="W382" s="16" t="s">
        <v>360</v>
      </c>
    </row>
    <row r="383" spans="1:23" ht="18.95" customHeight="1">
      <c r="A383" s="7">
        <v>382</v>
      </c>
      <c r="B383" s="17">
        <v>2024</v>
      </c>
      <c r="C383" s="23" t="s">
        <v>432</v>
      </c>
      <c r="D383" s="18" t="s">
        <v>134</v>
      </c>
      <c r="E383" s="10" t="s">
        <v>87</v>
      </c>
      <c r="F383" s="18" t="s">
        <v>16</v>
      </c>
      <c r="G383" s="10" t="s">
        <v>17</v>
      </c>
      <c r="H383" s="18" t="s">
        <v>18</v>
      </c>
      <c r="I383" s="18" t="s">
        <v>49</v>
      </c>
      <c r="J383" s="18">
        <v>6</v>
      </c>
      <c r="K383" s="10" t="s">
        <v>93</v>
      </c>
      <c r="L383" s="18">
        <v>8</v>
      </c>
      <c r="M383" s="18">
        <v>8</v>
      </c>
      <c r="N383" s="18">
        <v>6</v>
      </c>
      <c r="O383" s="18" t="s">
        <v>94</v>
      </c>
      <c r="P383" s="18">
        <v>9</v>
      </c>
      <c r="Q383" s="18" t="s">
        <v>22</v>
      </c>
      <c r="R383" s="18" t="s">
        <v>38</v>
      </c>
      <c r="S383" s="18">
        <v>8</v>
      </c>
      <c r="T383" s="18" t="s">
        <v>34</v>
      </c>
      <c r="U383" s="18" t="s">
        <v>26</v>
      </c>
      <c r="V383" s="18">
        <v>9</v>
      </c>
      <c r="W383" s="18" t="s">
        <v>226</v>
      </c>
    </row>
    <row r="384" spans="1:23" ht="18.95" customHeight="1">
      <c r="A384" s="7">
        <v>383</v>
      </c>
      <c r="B384" s="15">
        <v>2024</v>
      </c>
      <c r="C384" s="23" t="s">
        <v>432</v>
      </c>
      <c r="D384" s="16" t="s">
        <v>41</v>
      </c>
      <c r="E384" s="13" t="s">
        <v>42</v>
      </c>
      <c r="F384" s="16" t="s">
        <v>57</v>
      </c>
      <c r="G384" s="13" t="s">
        <v>103</v>
      </c>
      <c r="H384" s="16" t="s">
        <v>18</v>
      </c>
      <c r="I384" s="16" t="s">
        <v>170</v>
      </c>
      <c r="J384" s="16">
        <v>5</v>
      </c>
      <c r="K384" s="13" t="s">
        <v>93</v>
      </c>
      <c r="L384" s="16">
        <v>10</v>
      </c>
      <c r="M384" s="16">
        <v>10</v>
      </c>
      <c r="N384" s="16">
        <v>7</v>
      </c>
      <c r="O384" s="16" t="s">
        <v>43</v>
      </c>
      <c r="P384" s="16">
        <v>10</v>
      </c>
      <c r="Q384" s="16" t="s">
        <v>22</v>
      </c>
      <c r="R384" s="16" t="s">
        <v>29</v>
      </c>
      <c r="S384" s="16">
        <v>6</v>
      </c>
      <c r="T384" s="16" t="s">
        <v>153</v>
      </c>
      <c r="U384" s="16" t="s">
        <v>26</v>
      </c>
      <c r="V384" s="16">
        <v>10</v>
      </c>
      <c r="W384" s="16" t="s">
        <v>372</v>
      </c>
    </row>
    <row r="385" spans="1:23" ht="18.95" customHeight="1">
      <c r="A385" s="7">
        <v>384</v>
      </c>
      <c r="B385" s="15">
        <v>2024</v>
      </c>
      <c r="C385" s="23" t="s">
        <v>432</v>
      </c>
      <c r="D385" s="16" t="s">
        <v>133</v>
      </c>
      <c r="E385" s="13" t="s">
        <v>15</v>
      </c>
      <c r="F385" s="16" t="s">
        <v>57</v>
      </c>
      <c r="G385" s="13" t="s">
        <v>47</v>
      </c>
      <c r="H385" s="16" t="s">
        <v>18</v>
      </c>
      <c r="I385" s="16" t="s">
        <v>170</v>
      </c>
      <c r="J385" s="16">
        <v>7</v>
      </c>
      <c r="K385" s="13" t="s">
        <v>32</v>
      </c>
      <c r="L385" s="16">
        <v>10</v>
      </c>
      <c r="M385" s="16">
        <v>10</v>
      </c>
      <c r="N385" s="16">
        <v>3</v>
      </c>
      <c r="O385" s="16" t="s">
        <v>21</v>
      </c>
      <c r="P385" s="16">
        <v>7</v>
      </c>
      <c r="Q385" s="16" t="s">
        <v>22</v>
      </c>
      <c r="R385" s="16" t="s">
        <v>480</v>
      </c>
      <c r="S385" s="16">
        <v>7</v>
      </c>
      <c r="T385" s="16" t="s">
        <v>25</v>
      </c>
      <c r="U385" s="16" t="s">
        <v>97</v>
      </c>
      <c r="V385" s="16">
        <v>8</v>
      </c>
      <c r="W385" s="16" t="s">
        <v>454</v>
      </c>
    </row>
    <row r="386" spans="1:23" ht="18.95" customHeight="1">
      <c r="A386" s="7">
        <v>385</v>
      </c>
      <c r="B386" s="15">
        <v>2024</v>
      </c>
      <c r="C386" s="23" t="s">
        <v>432</v>
      </c>
      <c r="D386" s="16" t="s">
        <v>89</v>
      </c>
      <c r="E386" s="13" t="s">
        <v>90</v>
      </c>
      <c r="F386" s="16" t="s">
        <v>16</v>
      </c>
      <c r="G386" s="13" t="s">
        <v>103</v>
      </c>
      <c r="H386" s="16" t="s">
        <v>18</v>
      </c>
      <c r="I386" s="16" t="s">
        <v>162</v>
      </c>
      <c r="J386" s="16">
        <v>10</v>
      </c>
      <c r="K386" s="13" t="s">
        <v>20</v>
      </c>
      <c r="L386" s="16">
        <v>6</v>
      </c>
      <c r="M386" s="16">
        <v>9</v>
      </c>
      <c r="N386" s="16">
        <v>7</v>
      </c>
      <c r="O386" s="16" t="s">
        <v>21</v>
      </c>
      <c r="P386" s="16">
        <v>10</v>
      </c>
      <c r="Q386" s="16" t="s">
        <v>364</v>
      </c>
      <c r="R386" s="16" t="s">
        <v>33</v>
      </c>
      <c r="S386" s="16">
        <v>9</v>
      </c>
      <c r="T386" s="16" t="s">
        <v>282</v>
      </c>
      <c r="U386" s="16" t="s">
        <v>68</v>
      </c>
      <c r="V386" s="16">
        <v>8</v>
      </c>
      <c r="W386" s="16" t="s">
        <v>328</v>
      </c>
    </row>
    <row r="387" spans="1:23" ht="18.95" customHeight="1">
      <c r="A387" s="7">
        <v>386</v>
      </c>
      <c r="B387" s="17">
        <v>2024</v>
      </c>
      <c r="C387" s="23" t="s">
        <v>432</v>
      </c>
      <c r="D387" s="18" t="s">
        <v>137</v>
      </c>
      <c r="E387" s="10" t="s">
        <v>42</v>
      </c>
      <c r="F387" s="18" t="s">
        <v>57</v>
      </c>
      <c r="G387" s="10" t="s">
        <v>17</v>
      </c>
      <c r="H387" s="18" t="s">
        <v>18</v>
      </c>
      <c r="I387" s="18" t="s">
        <v>49</v>
      </c>
      <c r="J387" s="18">
        <v>9</v>
      </c>
      <c r="K387" s="10" t="s">
        <v>20</v>
      </c>
      <c r="L387" s="18">
        <v>8</v>
      </c>
      <c r="M387" s="18">
        <v>9</v>
      </c>
      <c r="N387" s="18">
        <v>10</v>
      </c>
      <c r="O387" s="18" t="s">
        <v>312</v>
      </c>
      <c r="P387" s="18">
        <v>10</v>
      </c>
      <c r="Q387" s="18" t="s">
        <v>22</v>
      </c>
      <c r="R387" s="18" t="s">
        <v>51</v>
      </c>
      <c r="S387" s="18">
        <v>10</v>
      </c>
      <c r="T387" s="18" t="s">
        <v>73</v>
      </c>
      <c r="U387" s="18" t="s">
        <v>97</v>
      </c>
      <c r="V387" s="18">
        <v>8</v>
      </c>
      <c r="W387" s="18" t="s">
        <v>328</v>
      </c>
    </row>
    <row r="388" spans="1:23" ht="18.95" customHeight="1">
      <c r="A388" s="7">
        <v>387</v>
      </c>
      <c r="B388" s="15">
        <v>2024</v>
      </c>
      <c r="C388" s="23" t="s">
        <v>432</v>
      </c>
      <c r="D388" s="16" t="s">
        <v>166</v>
      </c>
      <c r="E388" s="13" t="s">
        <v>56</v>
      </c>
      <c r="F388" s="16" t="s">
        <v>57</v>
      </c>
      <c r="G388" s="13" t="s">
        <v>17</v>
      </c>
      <c r="H388" s="16" t="s">
        <v>18</v>
      </c>
      <c r="I388" s="16" t="s">
        <v>49</v>
      </c>
      <c r="J388" s="16">
        <v>7</v>
      </c>
      <c r="K388" s="13" t="s">
        <v>32</v>
      </c>
      <c r="L388" s="16">
        <v>3</v>
      </c>
      <c r="M388" s="16">
        <v>10</v>
      </c>
      <c r="N388" s="16">
        <v>3</v>
      </c>
      <c r="O388" s="16" t="s">
        <v>94</v>
      </c>
      <c r="P388" s="16">
        <v>10</v>
      </c>
      <c r="Q388" s="16" t="s">
        <v>64</v>
      </c>
      <c r="R388" s="16" t="s">
        <v>403</v>
      </c>
      <c r="S388" s="16">
        <v>9</v>
      </c>
      <c r="T388" s="16" t="s">
        <v>53</v>
      </c>
      <c r="U388" s="16" t="s">
        <v>62</v>
      </c>
      <c r="V388" s="16">
        <v>5</v>
      </c>
      <c r="W388" s="16" t="s">
        <v>352</v>
      </c>
    </row>
    <row r="389" spans="1:23" ht="18.95" customHeight="1">
      <c r="A389" s="7">
        <v>388</v>
      </c>
      <c r="B389" s="17">
        <v>2024</v>
      </c>
      <c r="C389" s="23" t="s">
        <v>432</v>
      </c>
      <c r="D389" s="18" t="s">
        <v>166</v>
      </c>
      <c r="E389" s="10" t="s">
        <v>56</v>
      </c>
      <c r="F389" s="18" t="s">
        <v>57</v>
      </c>
      <c r="G389" s="10" t="s">
        <v>17</v>
      </c>
      <c r="H389" s="18" t="s">
        <v>18</v>
      </c>
      <c r="I389" s="18" t="s">
        <v>49</v>
      </c>
      <c r="J389" s="18">
        <v>9</v>
      </c>
      <c r="K389" s="10" t="s">
        <v>20</v>
      </c>
      <c r="L389" s="18">
        <v>4</v>
      </c>
      <c r="M389" s="18">
        <v>5</v>
      </c>
      <c r="N389" s="18">
        <v>3</v>
      </c>
      <c r="O389" s="18" t="s">
        <v>312</v>
      </c>
      <c r="P389" s="18">
        <v>10</v>
      </c>
      <c r="Q389" s="18" t="s">
        <v>22</v>
      </c>
      <c r="R389" s="18" t="s">
        <v>51</v>
      </c>
      <c r="S389" s="18">
        <v>10</v>
      </c>
      <c r="T389" s="18" t="s">
        <v>25</v>
      </c>
      <c r="U389" s="18" t="s">
        <v>140</v>
      </c>
      <c r="V389" s="18">
        <v>9</v>
      </c>
      <c r="W389" s="18" t="s">
        <v>487</v>
      </c>
    </row>
    <row r="390" spans="1:23" ht="18.95" customHeight="1">
      <c r="A390" s="7">
        <v>389</v>
      </c>
      <c r="B390" s="17">
        <v>2024</v>
      </c>
      <c r="C390" s="23" t="s">
        <v>432</v>
      </c>
      <c r="D390" s="18" t="s">
        <v>137</v>
      </c>
      <c r="E390" s="10" t="s">
        <v>42</v>
      </c>
      <c r="F390" s="18" t="s">
        <v>16</v>
      </c>
      <c r="G390" s="10" t="s">
        <v>17</v>
      </c>
      <c r="H390" s="18" t="s">
        <v>18</v>
      </c>
      <c r="I390" s="18" t="s">
        <v>49</v>
      </c>
      <c r="J390" s="18">
        <v>3</v>
      </c>
      <c r="K390" s="10" t="s">
        <v>93</v>
      </c>
      <c r="L390" s="18">
        <v>10</v>
      </c>
      <c r="M390" s="18">
        <v>10</v>
      </c>
      <c r="N390" s="18">
        <v>6</v>
      </c>
      <c r="O390" s="18" t="s">
        <v>94</v>
      </c>
      <c r="P390" s="18">
        <v>8</v>
      </c>
      <c r="Q390" s="18" t="s">
        <v>22</v>
      </c>
      <c r="R390" s="18" t="s">
        <v>51</v>
      </c>
      <c r="S390" s="18">
        <v>8</v>
      </c>
      <c r="T390" s="18" t="s">
        <v>265</v>
      </c>
      <c r="U390" s="18" t="s">
        <v>54</v>
      </c>
      <c r="V390" s="18">
        <v>10</v>
      </c>
      <c r="W390" s="18" t="s">
        <v>292</v>
      </c>
    </row>
    <row r="391" spans="1:23" ht="18.95" customHeight="1">
      <c r="A391" s="7">
        <v>390</v>
      </c>
      <c r="B391" s="15">
        <v>2024</v>
      </c>
      <c r="C391" s="23" t="s">
        <v>432</v>
      </c>
      <c r="D391" s="16" t="s">
        <v>83</v>
      </c>
      <c r="E391" s="13" t="s">
        <v>36</v>
      </c>
      <c r="F391" s="16" t="s">
        <v>57</v>
      </c>
      <c r="G391" s="13" t="s">
        <v>47</v>
      </c>
      <c r="H391" s="16" t="s">
        <v>18</v>
      </c>
      <c r="I391" s="16" t="s">
        <v>307</v>
      </c>
      <c r="J391" s="16">
        <v>5</v>
      </c>
      <c r="K391" s="13" t="s">
        <v>93</v>
      </c>
      <c r="L391" s="16">
        <v>4</v>
      </c>
      <c r="M391" s="16">
        <v>10</v>
      </c>
      <c r="N391" s="16">
        <v>5</v>
      </c>
      <c r="O391" s="16" t="s">
        <v>43</v>
      </c>
      <c r="P391" s="16">
        <v>9</v>
      </c>
      <c r="Q391" s="16" t="s">
        <v>22</v>
      </c>
      <c r="R391" s="16" t="s">
        <v>45</v>
      </c>
      <c r="S391" s="16">
        <v>7</v>
      </c>
      <c r="T391" s="16" t="s">
        <v>146</v>
      </c>
      <c r="U391" s="16" t="s">
        <v>140</v>
      </c>
      <c r="V391" s="16">
        <v>9</v>
      </c>
      <c r="W391" s="16" t="s">
        <v>372</v>
      </c>
    </row>
    <row r="392" spans="1:23" ht="18.95" customHeight="1">
      <c r="A392" s="7">
        <v>391</v>
      </c>
      <c r="B392" s="17">
        <v>2024</v>
      </c>
      <c r="C392" s="23" t="s">
        <v>432</v>
      </c>
      <c r="D392" s="18" t="s">
        <v>308</v>
      </c>
      <c r="E392" s="10" t="s">
        <v>56</v>
      </c>
      <c r="F392" s="18" t="s">
        <v>57</v>
      </c>
      <c r="G392" s="10" t="s">
        <v>103</v>
      </c>
      <c r="H392" s="18" t="s">
        <v>48</v>
      </c>
      <c r="I392" s="18" t="s">
        <v>49</v>
      </c>
      <c r="J392" s="18">
        <v>8</v>
      </c>
      <c r="K392" s="10" t="s">
        <v>32</v>
      </c>
      <c r="L392" s="18">
        <v>4</v>
      </c>
      <c r="M392" s="18">
        <v>6</v>
      </c>
      <c r="N392" s="18">
        <v>5</v>
      </c>
      <c r="O392" s="18" t="s">
        <v>94</v>
      </c>
      <c r="P392" s="18">
        <v>10</v>
      </c>
      <c r="Q392" s="18" t="s">
        <v>22</v>
      </c>
      <c r="R392" s="18" t="s">
        <v>489</v>
      </c>
      <c r="S392" s="18">
        <v>8</v>
      </c>
      <c r="T392" s="18" t="s">
        <v>282</v>
      </c>
      <c r="U392" s="18" t="s">
        <v>62</v>
      </c>
      <c r="V392" s="18">
        <v>6</v>
      </c>
      <c r="W392" s="18" t="s">
        <v>425</v>
      </c>
    </row>
    <row r="393" spans="1:23" ht="18.95" customHeight="1">
      <c r="A393" s="7">
        <v>392</v>
      </c>
      <c r="B393" s="15">
        <v>2024</v>
      </c>
      <c r="C393" s="23" t="s">
        <v>432</v>
      </c>
      <c r="D393" s="16" t="s">
        <v>114</v>
      </c>
      <c r="E393" s="13" t="s">
        <v>56</v>
      </c>
      <c r="F393" s="16" t="s">
        <v>57</v>
      </c>
      <c r="G393" s="13" t="s">
        <v>103</v>
      </c>
      <c r="H393" s="16" t="s">
        <v>48</v>
      </c>
      <c r="I393" s="16" t="s">
        <v>307</v>
      </c>
      <c r="J393" s="16">
        <v>4</v>
      </c>
      <c r="K393" s="13" t="s">
        <v>85</v>
      </c>
      <c r="L393" s="16">
        <v>4</v>
      </c>
      <c r="M393" s="16">
        <v>10</v>
      </c>
      <c r="N393" s="16">
        <v>6</v>
      </c>
      <c r="O393" s="16" t="s">
        <v>94</v>
      </c>
      <c r="P393" s="16">
        <v>10</v>
      </c>
      <c r="Q393" s="16" t="s">
        <v>64</v>
      </c>
      <c r="R393" s="16" t="s">
        <v>320</v>
      </c>
      <c r="S393" s="16">
        <v>6</v>
      </c>
      <c r="T393" s="16" t="s">
        <v>276</v>
      </c>
      <c r="U393" s="16" t="s">
        <v>62</v>
      </c>
      <c r="V393" s="16">
        <v>6</v>
      </c>
      <c r="W393" s="16" t="s">
        <v>425</v>
      </c>
    </row>
    <row r="394" spans="1:23" ht="18.95" customHeight="1">
      <c r="A394" s="7">
        <v>393</v>
      </c>
      <c r="B394" s="17">
        <v>2024</v>
      </c>
      <c r="C394" s="23" t="s">
        <v>432</v>
      </c>
      <c r="D394" s="18" t="s">
        <v>114</v>
      </c>
      <c r="E394" s="10" t="s">
        <v>56</v>
      </c>
      <c r="F394" s="18" t="s">
        <v>57</v>
      </c>
      <c r="G394" s="10" t="s">
        <v>103</v>
      </c>
      <c r="H394" s="18" t="s">
        <v>18</v>
      </c>
      <c r="I394" s="18" t="s">
        <v>307</v>
      </c>
      <c r="J394" s="18">
        <v>4</v>
      </c>
      <c r="K394" s="10" t="s">
        <v>85</v>
      </c>
      <c r="L394" s="18">
        <v>5</v>
      </c>
      <c r="M394" s="18">
        <v>10</v>
      </c>
      <c r="N394" s="18">
        <v>10</v>
      </c>
      <c r="O394" s="18" t="s">
        <v>43</v>
      </c>
      <c r="P394" s="18">
        <v>5</v>
      </c>
      <c r="Q394" s="18" t="s">
        <v>59</v>
      </c>
      <c r="R394" s="18" t="s">
        <v>45</v>
      </c>
      <c r="S394" s="18">
        <v>9</v>
      </c>
      <c r="T394" s="18" t="s">
        <v>73</v>
      </c>
      <c r="U394" s="18" t="s">
        <v>68</v>
      </c>
      <c r="V394" s="18">
        <v>7</v>
      </c>
      <c r="W394" s="18" t="s">
        <v>355</v>
      </c>
    </row>
    <row r="395" spans="1:23" ht="18.95" customHeight="1">
      <c r="A395" s="7">
        <v>394</v>
      </c>
      <c r="B395" s="15">
        <v>2024</v>
      </c>
      <c r="C395" s="23" t="s">
        <v>432</v>
      </c>
      <c r="D395" s="16" t="s">
        <v>114</v>
      </c>
      <c r="E395" s="13" t="s">
        <v>56</v>
      </c>
      <c r="F395" s="16" t="s">
        <v>16</v>
      </c>
      <c r="G395" s="13" t="s">
        <v>103</v>
      </c>
      <c r="H395" s="16" t="s">
        <v>18</v>
      </c>
      <c r="I395" s="16" t="s">
        <v>307</v>
      </c>
      <c r="J395" s="16">
        <v>5</v>
      </c>
      <c r="K395" s="13" t="s">
        <v>32</v>
      </c>
      <c r="L395" s="16">
        <v>8</v>
      </c>
      <c r="M395" s="16">
        <v>1</v>
      </c>
      <c r="N395" s="16">
        <v>7</v>
      </c>
      <c r="O395" s="16" t="s">
        <v>21</v>
      </c>
      <c r="P395" s="16">
        <v>9</v>
      </c>
      <c r="Q395" s="16" t="s">
        <v>22</v>
      </c>
      <c r="R395" s="16" t="s">
        <v>112</v>
      </c>
      <c r="S395" s="16">
        <v>7</v>
      </c>
      <c r="T395" s="16" t="s">
        <v>34</v>
      </c>
      <c r="U395" s="16" t="s">
        <v>68</v>
      </c>
      <c r="V395" s="16">
        <v>10</v>
      </c>
      <c r="W395" s="16" t="s">
        <v>496</v>
      </c>
    </row>
    <row r="396" spans="1:23" ht="18.95" customHeight="1">
      <c r="A396" s="7">
        <v>395</v>
      </c>
      <c r="B396" s="15">
        <v>2024</v>
      </c>
      <c r="C396" s="23" t="s">
        <v>432</v>
      </c>
      <c r="D396" s="21" t="s">
        <v>89</v>
      </c>
      <c r="E396" s="13" t="s">
        <v>90</v>
      </c>
      <c r="F396" s="21" t="s">
        <v>16</v>
      </c>
      <c r="G396" s="21" t="s">
        <v>17</v>
      </c>
      <c r="H396" s="21" t="s">
        <v>18</v>
      </c>
      <c r="I396" s="21" t="s">
        <v>81</v>
      </c>
      <c r="J396" s="21">
        <v>5</v>
      </c>
      <c r="K396" s="21" t="s">
        <v>85</v>
      </c>
      <c r="L396" s="21">
        <v>7</v>
      </c>
      <c r="M396" s="21">
        <v>10</v>
      </c>
      <c r="N396" s="21">
        <v>8</v>
      </c>
      <c r="O396" s="21" t="s">
        <v>312</v>
      </c>
      <c r="P396" s="21">
        <v>6</v>
      </c>
      <c r="Q396" s="21" t="s">
        <v>22</v>
      </c>
      <c r="R396" s="21" t="s">
        <v>350</v>
      </c>
      <c r="S396" s="21">
        <v>5</v>
      </c>
      <c r="T396" s="21" t="s">
        <v>34</v>
      </c>
      <c r="U396" s="21" t="s">
        <v>26</v>
      </c>
      <c r="V396" s="21">
        <v>9</v>
      </c>
      <c r="W396" s="21" t="s">
        <v>506</v>
      </c>
    </row>
    <row r="397" spans="1:23" ht="18.95" customHeight="1">
      <c r="A397" s="7">
        <v>396</v>
      </c>
      <c r="B397" s="19">
        <v>2024</v>
      </c>
      <c r="C397" s="23" t="s">
        <v>432</v>
      </c>
      <c r="D397" s="21" t="s">
        <v>132</v>
      </c>
      <c r="E397" s="22" t="s">
        <v>90</v>
      </c>
      <c r="F397" s="21" t="s">
        <v>57</v>
      </c>
      <c r="G397" s="21" t="s">
        <v>17</v>
      </c>
      <c r="H397" s="21" t="s">
        <v>18</v>
      </c>
      <c r="I397" s="21" t="s">
        <v>305</v>
      </c>
      <c r="J397" s="21">
        <v>5</v>
      </c>
      <c r="K397" s="21" t="s">
        <v>93</v>
      </c>
      <c r="L397" s="21">
        <v>4</v>
      </c>
      <c r="M397" s="21">
        <v>9</v>
      </c>
      <c r="N397" s="21">
        <v>5</v>
      </c>
      <c r="O397" s="21" t="s">
        <v>43</v>
      </c>
      <c r="P397" s="21">
        <v>9</v>
      </c>
      <c r="Q397" s="21" t="s">
        <v>22</v>
      </c>
      <c r="R397" s="21" t="s">
        <v>33</v>
      </c>
      <c r="S397" s="21">
        <v>8</v>
      </c>
      <c r="T397" s="21" t="s">
        <v>34</v>
      </c>
      <c r="U397" s="21" t="s">
        <v>54</v>
      </c>
      <c r="V397" s="21">
        <v>10</v>
      </c>
      <c r="W397" s="21" t="s">
        <v>530</v>
      </c>
    </row>
    <row r="398" spans="1:23" ht="18.95" customHeight="1">
      <c r="A398" s="7">
        <v>397</v>
      </c>
      <c r="B398" s="19">
        <v>2025</v>
      </c>
      <c r="C398" s="23" t="s">
        <v>432</v>
      </c>
      <c r="D398" s="21" t="s">
        <v>89</v>
      </c>
      <c r="E398" s="13" t="s">
        <v>90</v>
      </c>
      <c r="F398" s="21" t="s">
        <v>57</v>
      </c>
      <c r="G398" s="21" t="s">
        <v>17</v>
      </c>
      <c r="H398" s="21" t="s">
        <v>18</v>
      </c>
      <c r="I398" s="21" t="s">
        <v>76</v>
      </c>
      <c r="J398" s="21">
        <v>6</v>
      </c>
      <c r="K398" s="21" t="s">
        <v>20</v>
      </c>
      <c r="L398" s="21">
        <v>10</v>
      </c>
      <c r="M398" s="21">
        <v>8</v>
      </c>
      <c r="N398" s="21">
        <v>10</v>
      </c>
      <c r="O398" s="21" t="s">
        <v>21</v>
      </c>
      <c r="P398" s="21">
        <v>4</v>
      </c>
      <c r="Q398" s="21" t="s">
        <v>22</v>
      </c>
      <c r="R398" s="21" t="s">
        <v>174</v>
      </c>
      <c r="S398" s="21">
        <v>10</v>
      </c>
      <c r="T398" s="21" t="s">
        <v>34</v>
      </c>
      <c r="U398" s="21" t="s">
        <v>54</v>
      </c>
      <c r="V398" s="21">
        <v>9</v>
      </c>
      <c r="W398" s="21" t="s">
        <v>498</v>
      </c>
    </row>
    <row r="399" spans="1:23" ht="18.95" customHeight="1">
      <c r="A399" s="7">
        <v>398</v>
      </c>
      <c r="B399" s="19">
        <v>2025</v>
      </c>
      <c r="C399" s="23" t="s">
        <v>432</v>
      </c>
      <c r="D399" s="21" t="s">
        <v>114</v>
      </c>
      <c r="E399" s="13" t="s">
        <v>56</v>
      </c>
      <c r="F399" s="21" t="s">
        <v>57</v>
      </c>
      <c r="G399" s="21" t="s">
        <v>17</v>
      </c>
      <c r="H399" s="21" t="s">
        <v>18</v>
      </c>
      <c r="I399" s="21" t="s">
        <v>305</v>
      </c>
      <c r="J399" s="21">
        <v>5</v>
      </c>
      <c r="K399" s="21" t="s">
        <v>20</v>
      </c>
      <c r="L399" s="21">
        <v>10</v>
      </c>
      <c r="M399" s="21">
        <v>10</v>
      </c>
      <c r="N399" s="21">
        <v>9</v>
      </c>
      <c r="O399" s="21" t="s">
        <v>43</v>
      </c>
      <c r="P399" s="21">
        <v>7</v>
      </c>
      <c r="Q399" s="21" t="s">
        <v>22</v>
      </c>
      <c r="R399" s="21" t="s">
        <v>350</v>
      </c>
      <c r="S399" s="21">
        <v>10</v>
      </c>
      <c r="T399" s="21" t="s">
        <v>39</v>
      </c>
      <c r="U399" s="21" t="s">
        <v>26</v>
      </c>
      <c r="V399" s="21">
        <v>10</v>
      </c>
      <c r="W399" s="21" t="s">
        <v>499</v>
      </c>
    </row>
    <row r="400" spans="1:23" ht="18.95" customHeight="1">
      <c r="A400" s="7">
        <v>399</v>
      </c>
      <c r="B400" s="19">
        <v>2025</v>
      </c>
      <c r="C400" s="23" t="s">
        <v>432</v>
      </c>
      <c r="D400" s="21" t="s">
        <v>195</v>
      </c>
      <c r="E400" s="22" t="s">
        <v>56</v>
      </c>
      <c r="F400" s="21" t="s">
        <v>57</v>
      </c>
      <c r="G400" s="21" t="s">
        <v>17</v>
      </c>
      <c r="H400" s="21" t="s">
        <v>18</v>
      </c>
      <c r="I400" s="21" t="s">
        <v>49</v>
      </c>
      <c r="J400" s="21">
        <v>5</v>
      </c>
      <c r="K400" s="21" t="s">
        <v>20</v>
      </c>
      <c r="L400" s="21">
        <v>10</v>
      </c>
      <c r="M400" s="21">
        <v>10</v>
      </c>
      <c r="N400" s="21">
        <v>6</v>
      </c>
      <c r="O400" s="21" t="s">
        <v>43</v>
      </c>
      <c r="P400" s="21">
        <v>8</v>
      </c>
      <c r="Q400" s="21" t="s">
        <v>22</v>
      </c>
      <c r="R400" s="21" t="s">
        <v>440</v>
      </c>
      <c r="S400" s="21">
        <v>5</v>
      </c>
      <c r="T400" s="21" t="s">
        <v>34</v>
      </c>
      <c r="U400" s="21" t="s">
        <v>26</v>
      </c>
      <c r="V400" s="21">
        <v>8</v>
      </c>
      <c r="W400" s="21" t="s">
        <v>500</v>
      </c>
    </row>
    <row r="401" spans="1:23" ht="18.95" customHeight="1">
      <c r="A401" s="7">
        <v>400</v>
      </c>
      <c r="B401" s="19">
        <v>2025</v>
      </c>
      <c r="C401" s="23" t="s">
        <v>432</v>
      </c>
      <c r="D401" s="21" t="s">
        <v>89</v>
      </c>
      <c r="E401" s="13" t="s">
        <v>90</v>
      </c>
      <c r="F401" s="21" t="s">
        <v>57</v>
      </c>
      <c r="G401" s="21" t="s">
        <v>17</v>
      </c>
      <c r="H401" s="21" t="s">
        <v>18</v>
      </c>
      <c r="I401" s="21" t="s">
        <v>305</v>
      </c>
      <c r="J401" s="21">
        <v>7</v>
      </c>
      <c r="K401" s="21" t="s">
        <v>20</v>
      </c>
      <c r="L401" s="21">
        <v>9</v>
      </c>
      <c r="M401" s="21">
        <v>8</v>
      </c>
      <c r="N401" s="21">
        <v>9</v>
      </c>
      <c r="O401" s="21" t="s">
        <v>21</v>
      </c>
      <c r="P401" s="21">
        <v>8</v>
      </c>
      <c r="Q401" s="21" t="s">
        <v>22</v>
      </c>
      <c r="R401" s="21" t="s">
        <v>501</v>
      </c>
      <c r="S401" s="21">
        <v>6</v>
      </c>
      <c r="T401" s="21" t="s">
        <v>34</v>
      </c>
      <c r="U401" s="21" t="s">
        <v>54</v>
      </c>
      <c r="V401" s="21">
        <v>9</v>
      </c>
      <c r="W401" s="21" t="s">
        <v>502</v>
      </c>
    </row>
    <row r="402" spans="1:23" ht="18.95" customHeight="1">
      <c r="A402" s="7">
        <v>401</v>
      </c>
      <c r="B402" s="19">
        <v>2025</v>
      </c>
      <c r="C402" s="23" t="s">
        <v>432</v>
      </c>
      <c r="D402" s="21" t="s">
        <v>89</v>
      </c>
      <c r="E402" s="13" t="s">
        <v>90</v>
      </c>
      <c r="F402" s="21" t="s">
        <v>57</v>
      </c>
      <c r="G402" s="21" t="s">
        <v>17</v>
      </c>
      <c r="H402" s="21" t="s">
        <v>18</v>
      </c>
      <c r="I402" s="21" t="s">
        <v>49</v>
      </c>
      <c r="J402" s="21">
        <v>2</v>
      </c>
      <c r="K402" s="21" t="s">
        <v>85</v>
      </c>
      <c r="L402" s="21">
        <v>4</v>
      </c>
      <c r="M402" s="21">
        <v>10</v>
      </c>
      <c r="N402" s="21">
        <v>3</v>
      </c>
      <c r="O402" s="21" t="s">
        <v>312</v>
      </c>
      <c r="P402" s="21">
        <v>6</v>
      </c>
      <c r="Q402" s="21" t="s">
        <v>22</v>
      </c>
      <c r="R402" s="21" t="s">
        <v>503</v>
      </c>
      <c r="S402" s="21">
        <v>10</v>
      </c>
      <c r="T402" s="21" t="s">
        <v>34</v>
      </c>
      <c r="U402" s="21" t="s">
        <v>54</v>
      </c>
      <c r="V402" s="21">
        <v>9</v>
      </c>
      <c r="W402" s="21" t="s">
        <v>504</v>
      </c>
    </row>
    <row r="403" spans="1:23" ht="18.95" customHeight="1">
      <c r="A403" s="7">
        <v>402</v>
      </c>
      <c r="B403" s="19">
        <v>2025</v>
      </c>
      <c r="C403" s="23" t="s">
        <v>432</v>
      </c>
      <c r="D403" s="21" t="s">
        <v>74</v>
      </c>
      <c r="E403" s="22" t="s">
        <v>75</v>
      </c>
      <c r="F403" s="21" t="s">
        <v>57</v>
      </c>
      <c r="G403" s="21" t="s">
        <v>17</v>
      </c>
      <c r="H403" s="21" t="s">
        <v>18</v>
      </c>
      <c r="I403" s="21" t="s">
        <v>305</v>
      </c>
      <c r="J403" s="21">
        <v>7</v>
      </c>
      <c r="K403" s="21" t="s">
        <v>50</v>
      </c>
      <c r="L403" s="21">
        <v>8</v>
      </c>
      <c r="M403" s="21">
        <v>9</v>
      </c>
      <c r="N403" s="21">
        <v>6</v>
      </c>
      <c r="O403" s="21" t="s">
        <v>43</v>
      </c>
      <c r="P403" s="21">
        <v>9</v>
      </c>
      <c r="Q403" s="21" t="s">
        <v>22</v>
      </c>
      <c r="R403" s="21" t="s">
        <v>457</v>
      </c>
      <c r="S403" s="21">
        <v>8</v>
      </c>
      <c r="T403" s="21" t="s">
        <v>34</v>
      </c>
      <c r="U403" s="21" t="s">
        <v>26</v>
      </c>
      <c r="V403" s="21">
        <v>8</v>
      </c>
      <c r="W403" s="21" t="s">
        <v>505</v>
      </c>
    </row>
    <row r="404" spans="1:23" ht="18.95" customHeight="1">
      <c r="A404" s="7">
        <v>403</v>
      </c>
      <c r="B404" s="19">
        <v>2025</v>
      </c>
      <c r="C404" s="23" t="s">
        <v>432</v>
      </c>
      <c r="D404" s="21" t="s">
        <v>14</v>
      </c>
      <c r="E404" s="22" t="s">
        <v>15</v>
      </c>
      <c r="F404" s="21" t="s">
        <v>16</v>
      </c>
      <c r="G404" s="21" t="s">
        <v>17</v>
      </c>
      <c r="H404" s="21" t="s">
        <v>18</v>
      </c>
      <c r="I404" s="21" t="s">
        <v>305</v>
      </c>
      <c r="J404" s="21">
        <v>4</v>
      </c>
      <c r="K404" s="21" t="s">
        <v>20</v>
      </c>
      <c r="L404" s="21">
        <v>4</v>
      </c>
      <c r="M404" s="21">
        <v>10</v>
      </c>
      <c r="N404" s="21">
        <v>5</v>
      </c>
      <c r="O404" s="21" t="s">
        <v>312</v>
      </c>
      <c r="P404" s="21">
        <v>6</v>
      </c>
      <c r="Q404" s="21" t="s">
        <v>22</v>
      </c>
      <c r="R404" s="21" t="s">
        <v>33</v>
      </c>
      <c r="S404" s="21">
        <v>9</v>
      </c>
      <c r="T404" s="21" t="s">
        <v>34</v>
      </c>
      <c r="U404" s="21" t="s">
        <v>97</v>
      </c>
      <c r="V404" s="21">
        <v>8</v>
      </c>
      <c r="W404" s="21" t="s">
        <v>507</v>
      </c>
    </row>
    <row r="405" spans="1:23" ht="18.95" customHeight="1">
      <c r="A405" s="7">
        <v>404</v>
      </c>
      <c r="B405" s="19">
        <v>2025</v>
      </c>
      <c r="C405" s="23" t="s">
        <v>432</v>
      </c>
      <c r="D405" s="21" t="s">
        <v>89</v>
      </c>
      <c r="E405" s="13" t="s">
        <v>90</v>
      </c>
      <c r="F405" s="21" t="s">
        <v>16</v>
      </c>
      <c r="G405" s="21" t="s">
        <v>17</v>
      </c>
      <c r="H405" s="21" t="s">
        <v>18</v>
      </c>
      <c r="I405" s="21" t="s">
        <v>81</v>
      </c>
      <c r="J405" s="21">
        <v>6</v>
      </c>
      <c r="K405" s="21" t="s">
        <v>93</v>
      </c>
      <c r="L405" s="21">
        <v>10</v>
      </c>
      <c r="M405" s="21">
        <v>5</v>
      </c>
      <c r="N405" s="21">
        <v>4</v>
      </c>
      <c r="O405" s="21" t="s">
        <v>21</v>
      </c>
      <c r="P405" s="21">
        <v>9</v>
      </c>
      <c r="Q405" s="21" t="s">
        <v>22</v>
      </c>
      <c r="R405" s="21" t="s">
        <v>350</v>
      </c>
      <c r="S405" s="21">
        <v>5</v>
      </c>
      <c r="T405" s="21" t="s">
        <v>34</v>
      </c>
      <c r="U405" s="21" t="s">
        <v>97</v>
      </c>
      <c r="V405" s="21">
        <v>5</v>
      </c>
      <c r="W405" s="21" t="s">
        <v>508</v>
      </c>
    </row>
    <row r="406" spans="1:23" ht="18.95" customHeight="1">
      <c r="A406" s="7">
        <v>405</v>
      </c>
      <c r="B406" s="19">
        <v>2025</v>
      </c>
      <c r="C406" s="23" t="s">
        <v>432</v>
      </c>
      <c r="D406" s="21" t="s">
        <v>89</v>
      </c>
      <c r="E406" s="13" t="s">
        <v>90</v>
      </c>
      <c r="F406" s="21" t="s">
        <v>57</v>
      </c>
      <c r="G406" s="21" t="s">
        <v>17</v>
      </c>
      <c r="H406" s="21" t="s">
        <v>18</v>
      </c>
      <c r="I406" s="21" t="s">
        <v>305</v>
      </c>
      <c r="J406" s="21">
        <v>5</v>
      </c>
      <c r="K406" s="21" t="s">
        <v>20</v>
      </c>
      <c r="L406" s="21">
        <v>10</v>
      </c>
      <c r="M406" s="21">
        <v>10</v>
      </c>
      <c r="N406" s="21">
        <v>2</v>
      </c>
      <c r="O406" s="21" t="s">
        <v>94</v>
      </c>
      <c r="P406" s="21">
        <v>7</v>
      </c>
      <c r="Q406" s="21" t="s">
        <v>22</v>
      </c>
      <c r="R406" s="21" t="s">
        <v>33</v>
      </c>
      <c r="S406" s="21">
        <v>10</v>
      </c>
      <c r="T406" s="21" t="s">
        <v>34</v>
      </c>
      <c r="U406" s="21" t="s">
        <v>97</v>
      </c>
      <c r="V406" s="21">
        <v>4</v>
      </c>
      <c r="W406" s="21" t="s">
        <v>509</v>
      </c>
    </row>
    <row r="407" spans="1:23" ht="18.95" customHeight="1">
      <c r="A407" s="7">
        <v>406</v>
      </c>
      <c r="B407" s="19">
        <v>2025</v>
      </c>
      <c r="C407" s="23" t="s">
        <v>432</v>
      </c>
      <c r="D407" s="21" t="s">
        <v>203</v>
      </c>
      <c r="E407" s="22" t="s">
        <v>36</v>
      </c>
      <c r="F407" s="21" t="s">
        <v>57</v>
      </c>
      <c r="G407" s="21" t="s">
        <v>17</v>
      </c>
      <c r="H407" s="21" t="s">
        <v>18</v>
      </c>
      <c r="I407" s="21" t="s">
        <v>49</v>
      </c>
      <c r="J407" s="21">
        <v>6</v>
      </c>
      <c r="K407" s="21" t="s">
        <v>20</v>
      </c>
      <c r="L407" s="21">
        <v>10</v>
      </c>
      <c r="M407" s="21">
        <v>8</v>
      </c>
      <c r="N407" s="21">
        <v>9</v>
      </c>
      <c r="O407" s="21" t="s">
        <v>94</v>
      </c>
      <c r="P407" s="21">
        <v>8</v>
      </c>
      <c r="Q407" s="21" t="s">
        <v>22</v>
      </c>
      <c r="R407" s="21" t="s">
        <v>350</v>
      </c>
      <c r="S407" s="21">
        <v>7</v>
      </c>
      <c r="T407" s="21" t="s">
        <v>302</v>
      </c>
      <c r="U407" s="21" t="s">
        <v>54</v>
      </c>
      <c r="V407" s="21">
        <v>10</v>
      </c>
      <c r="W407" s="21" t="s">
        <v>510</v>
      </c>
    </row>
    <row r="408" spans="1:23" ht="18.95" customHeight="1">
      <c r="A408" s="7">
        <v>407</v>
      </c>
      <c r="B408" s="19">
        <v>2025</v>
      </c>
      <c r="C408" s="23" t="s">
        <v>432</v>
      </c>
      <c r="D408" s="21" t="s">
        <v>89</v>
      </c>
      <c r="E408" s="13" t="s">
        <v>90</v>
      </c>
      <c r="F408" s="21" t="s">
        <v>57</v>
      </c>
      <c r="G408" s="21" t="s">
        <v>17</v>
      </c>
      <c r="H408" s="21" t="s">
        <v>18</v>
      </c>
      <c r="I408" s="21" t="s">
        <v>81</v>
      </c>
      <c r="J408" s="21">
        <v>8</v>
      </c>
      <c r="K408" s="21" t="s">
        <v>85</v>
      </c>
      <c r="L408" s="21">
        <v>7</v>
      </c>
      <c r="M408" s="21">
        <v>9</v>
      </c>
      <c r="N408" s="21">
        <v>6</v>
      </c>
      <c r="O408" s="21" t="s">
        <v>94</v>
      </c>
      <c r="P408" s="21">
        <v>9</v>
      </c>
      <c r="Q408" s="21" t="s">
        <v>22</v>
      </c>
      <c r="R408" s="21" t="s">
        <v>33</v>
      </c>
      <c r="S408" s="21">
        <v>8</v>
      </c>
      <c r="T408" s="21" t="s">
        <v>67</v>
      </c>
      <c r="U408" s="21" t="s">
        <v>140</v>
      </c>
      <c r="V408" s="21">
        <v>7</v>
      </c>
      <c r="W408" s="21" t="s">
        <v>511</v>
      </c>
    </row>
    <row r="409" spans="1:23" ht="18.95" customHeight="1">
      <c r="A409" s="7">
        <v>408</v>
      </c>
      <c r="B409" s="19">
        <v>2025</v>
      </c>
      <c r="C409" s="23" t="s">
        <v>432</v>
      </c>
      <c r="D409" s="21" t="s">
        <v>89</v>
      </c>
      <c r="E409" s="13" t="s">
        <v>90</v>
      </c>
      <c r="F409" s="21" t="s">
        <v>57</v>
      </c>
      <c r="G409" s="21" t="s">
        <v>17</v>
      </c>
      <c r="H409" s="21" t="s">
        <v>18</v>
      </c>
      <c r="I409" s="21" t="s">
        <v>305</v>
      </c>
      <c r="J409" s="21">
        <v>3</v>
      </c>
      <c r="K409" s="21" t="s">
        <v>93</v>
      </c>
      <c r="L409" s="21">
        <v>2</v>
      </c>
      <c r="M409" s="21">
        <v>9</v>
      </c>
      <c r="N409" s="21">
        <v>5</v>
      </c>
      <c r="O409" s="21" t="s">
        <v>312</v>
      </c>
      <c r="P409" s="21">
        <v>7</v>
      </c>
      <c r="Q409" s="21" t="s">
        <v>22</v>
      </c>
      <c r="R409" s="21" t="s">
        <v>350</v>
      </c>
      <c r="S409" s="21">
        <v>6</v>
      </c>
      <c r="T409" s="21" t="s">
        <v>34</v>
      </c>
      <c r="U409" s="21" t="s">
        <v>97</v>
      </c>
      <c r="V409" s="21">
        <v>8</v>
      </c>
      <c r="W409" s="21" t="s">
        <v>512</v>
      </c>
    </row>
    <row r="410" spans="1:23" ht="18.95" customHeight="1">
      <c r="A410" s="7">
        <v>409</v>
      </c>
      <c r="B410" s="19">
        <v>2025</v>
      </c>
      <c r="C410" s="23" t="s">
        <v>432</v>
      </c>
      <c r="D410" s="21" t="s">
        <v>102</v>
      </c>
      <c r="E410" s="22" t="s">
        <v>36</v>
      </c>
      <c r="F410" s="21" t="s">
        <v>57</v>
      </c>
      <c r="G410" s="21" t="s">
        <v>17</v>
      </c>
      <c r="H410" s="21" t="s">
        <v>18</v>
      </c>
      <c r="I410" s="21" t="s">
        <v>49</v>
      </c>
      <c r="J410" s="21">
        <v>6</v>
      </c>
      <c r="K410" s="21" t="s">
        <v>32</v>
      </c>
      <c r="L410" s="21">
        <v>4</v>
      </c>
      <c r="M410" s="21">
        <v>9</v>
      </c>
      <c r="N410" s="21">
        <v>6</v>
      </c>
      <c r="O410" s="21" t="s">
        <v>94</v>
      </c>
      <c r="P410" s="21">
        <v>8</v>
      </c>
      <c r="Q410" s="21" t="s">
        <v>22</v>
      </c>
      <c r="R410" s="21" t="s">
        <v>33</v>
      </c>
      <c r="S410" s="21">
        <v>8</v>
      </c>
      <c r="T410" s="21" t="s">
        <v>34</v>
      </c>
      <c r="U410" s="21" t="s">
        <v>26</v>
      </c>
      <c r="V410" s="21">
        <v>8</v>
      </c>
      <c r="W410" s="21" t="s">
        <v>513</v>
      </c>
    </row>
    <row r="411" spans="1:23" ht="18.95" customHeight="1">
      <c r="A411" s="7">
        <v>410</v>
      </c>
      <c r="B411" s="19">
        <v>2025</v>
      </c>
      <c r="C411" s="23" t="s">
        <v>432</v>
      </c>
      <c r="D411" s="21" t="s">
        <v>114</v>
      </c>
      <c r="E411" s="13" t="s">
        <v>56</v>
      </c>
      <c r="F411" s="21" t="s">
        <v>57</v>
      </c>
      <c r="G411" s="21" t="s">
        <v>17</v>
      </c>
      <c r="H411" s="21" t="s">
        <v>18</v>
      </c>
      <c r="I411" s="21" t="s">
        <v>49</v>
      </c>
      <c r="J411" s="21">
        <v>8</v>
      </c>
      <c r="K411" s="21" t="s">
        <v>85</v>
      </c>
      <c r="L411" s="21">
        <v>9</v>
      </c>
      <c r="M411" s="21">
        <v>10</v>
      </c>
      <c r="N411" s="21">
        <v>8</v>
      </c>
      <c r="O411" s="21" t="s">
        <v>43</v>
      </c>
      <c r="P411" s="21">
        <v>8</v>
      </c>
      <c r="Q411" s="21" t="s">
        <v>22</v>
      </c>
      <c r="R411" s="21" t="s">
        <v>33</v>
      </c>
      <c r="S411" s="21">
        <v>9</v>
      </c>
      <c r="T411" s="21" t="s">
        <v>73</v>
      </c>
      <c r="U411" s="21" t="s">
        <v>97</v>
      </c>
      <c r="V411" s="21">
        <v>7</v>
      </c>
      <c r="W411" s="21" t="s">
        <v>514</v>
      </c>
    </row>
    <row r="412" spans="1:23" ht="18.95" customHeight="1">
      <c r="A412" s="7">
        <v>411</v>
      </c>
      <c r="B412" s="19">
        <v>2025</v>
      </c>
      <c r="C412" s="23" t="s">
        <v>432</v>
      </c>
      <c r="D412" s="21" t="s">
        <v>98</v>
      </c>
      <c r="E412" s="13" t="s">
        <v>15</v>
      </c>
      <c r="F412" s="21" t="s">
        <v>57</v>
      </c>
      <c r="G412" s="21" t="s">
        <v>17</v>
      </c>
      <c r="H412" s="21" t="s">
        <v>18</v>
      </c>
      <c r="I412" s="21" t="s">
        <v>305</v>
      </c>
      <c r="J412" s="21">
        <v>5</v>
      </c>
      <c r="K412" s="21" t="s">
        <v>20</v>
      </c>
      <c r="L412" s="21">
        <v>6</v>
      </c>
      <c r="M412" s="21">
        <v>10</v>
      </c>
      <c r="N412" s="21">
        <v>4</v>
      </c>
      <c r="O412" s="21" t="s">
        <v>43</v>
      </c>
      <c r="P412" s="21">
        <v>8</v>
      </c>
      <c r="Q412" s="21" t="s">
        <v>22</v>
      </c>
      <c r="R412" s="21" t="s">
        <v>440</v>
      </c>
      <c r="S412" s="21">
        <v>5</v>
      </c>
      <c r="T412" s="21" t="s">
        <v>34</v>
      </c>
      <c r="U412" s="21" t="s">
        <v>26</v>
      </c>
      <c r="V412" s="21">
        <v>9</v>
      </c>
      <c r="W412" s="21" t="s">
        <v>283</v>
      </c>
    </row>
    <row r="413" spans="1:23" ht="18.95" customHeight="1">
      <c r="A413" s="7">
        <v>412</v>
      </c>
      <c r="B413" s="19">
        <v>2025</v>
      </c>
      <c r="C413" s="23" t="s">
        <v>432</v>
      </c>
      <c r="D413" s="21" t="s">
        <v>195</v>
      </c>
      <c r="E413" s="22" t="s">
        <v>56</v>
      </c>
      <c r="F413" s="21" t="s">
        <v>16</v>
      </c>
      <c r="G413" s="21" t="s">
        <v>17</v>
      </c>
      <c r="H413" s="21" t="s">
        <v>18</v>
      </c>
      <c r="I413" s="21" t="s">
        <v>49</v>
      </c>
      <c r="J413" s="21">
        <v>4</v>
      </c>
      <c r="K413" s="21" t="s">
        <v>85</v>
      </c>
      <c r="L413" s="21">
        <v>7</v>
      </c>
      <c r="M413" s="21">
        <v>10</v>
      </c>
      <c r="N413" s="21">
        <v>6</v>
      </c>
      <c r="O413" s="21" t="s">
        <v>43</v>
      </c>
      <c r="P413" s="21">
        <v>7</v>
      </c>
      <c r="Q413" s="21" t="s">
        <v>22</v>
      </c>
      <c r="R413" s="21" t="s">
        <v>33</v>
      </c>
      <c r="S413" s="21">
        <v>10</v>
      </c>
      <c r="T413" s="21" t="s">
        <v>309</v>
      </c>
      <c r="U413" s="21" t="s">
        <v>140</v>
      </c>
      <c r="V413" s="21">
        <v>9</v>
      </c>
      <c r="W413" s="21" t="s">
        <v>515</v>
      </c>
    </row>
    <row r="414" spans="1:23" ht="18.95" customHeight="1">
      <c r="A414" s="7">
        <v>413</v>
      </c>
      <c r="B414" s="19">
        <v>2025</v>
      </c>
      <c r="C414" s="23" t="s">
        <v>432</v>
      </c>
      <c r="D414" s="21" t="s">
        <v>137</v>
      </c>
      <c r="E414" s="22" t="s">
        <v>42</v>
      </c>
      <c r="F414" s="21" t="s">
        <v>16</v>
      </c>
      <c r="G414" s="21" t="s">
        <v>17</v>
      </c>
      <c r="H414" s="21" t="s">
        <v>18</v>
      </c>
      <c r="I414" s="21" t="s">
        <v>305</v>
      </c>
      <c r="J414" s="21">
        <v>5</v>
      </c>
      <c r="K414" s="21" t="s">
        <v>93</v>
      </c>
      <c r="L414" s="21">
        <v>5</v>
      </c>
      <c r="M414" s="21">
        <v>9</v>
      </c>
      <c r="N414" s="21">
        <v>4</v>
      </c>
      <c r="O414" s="21" t="s">
        <v>312</v>
      </c>
      <c r="P414" s="21">
        <v>9</v>
      </c>
      <c r="Q414" s="21" t="s">
        <v>22</v>
      </c>
      <c r="R414" s="21" t="s">
        <v>33</v>
      </c>
      <c r="S414" s="21">
        <v>7</v>
      </c>
      <c r="T414" s="21" t="s">
        <v>34</v>
      </c>
      <c r="U414" s="21" t="s">
        <v>54</v>
      </c>
      <c r="V414" s="21">
        <v>10</v>
      </c>
      <c r="W414" s="21" t="s">
        <v>314</v>
      </c>
    </row>
    <row r="415" spans="1:23" ht="18.95" customHeight="1">
      <c r="A415" s="7">
        <v>414</v>
      </c>
      <c r="B415" s="19">
        <v>2025</v>
      </c>
      <c r="C415" s="23" t="s">
        <v>432</v>
      </c>
      <c r="D415" s="21" t="s">
        <v>98</v>
      </c>
      <c r="E415" s="13" t="s">
        <v>15</v>
      </c>
      <c r="F415" s="21" t="s">
        <v>16</v>
      </c>
      <c r="G415" s="21" t="s">
        <v>17</v>
      </c>
      <c r="H415" s="21" t="s">
        <v>18</v>
      </c>
      <c r="I415" s="21" t="s">
        <v>49</v>
      </c>
      <c r="J415" s="21">
        <v>6</v>
      </c>
      <c r="K415" s="21" t="s">
        <v>85</v>
      </c>
      <c r="L415" s="21">
        <v>8</v>
      </c>
      <c r="M415" s="21">
        <v>10</v>
      </c>
      <c r="N415" s="21">
        <v>8</v>
      </c>
      <c r="O415" s="21" t="s">
        <v>94</v>
      </c>
      <c r="P415" s="21">
        <v>10</v>
      </c>
      <c r="Q415" s="21" t="s">
        <v>22</v>
      </c>
      <c r="R415" s="21" t="s">
        <v>33</v>
      </c>
      <c r="S415" s="21">
        <v>7</v>
      </c>
      <c r="T415" s="21" t="s">
        <v>34</v>
      </c>
      <c r="U415" s="21" t="s">
        <v>54</v>
      </c>
      <c r="V415" s="21">
        <v>10</v>
      </c>
      <c r="W415" s="21" t="s">
        <v>516</v>
      </c>
    </row>
    <row r="416" spans="1:23" ht="18.95" customHeight="1">
      <c r="A416" s="7">
        <v>415</v>
      </c>
      <c r="B416" s="19">
        <v>2025</v>
      </c>
      <c r="C416" s="23" t="s">
        <v>432</v>
      </c>
      <c r="D416" s="21" t="s">
        <v>147</v>
      </c>
      <c r="E416" s="22" t="s">
        <v>36</v>
      </c>
      <c r="F416" s="21" t="s">
        <v>16</v>
      </c>
      <c r="G416" s="21" t="s">
        <v>17</v>
      </c>
      <c r="H416" s="21" t="s">
        <v>18</v>
      </c>
      <c r="I416" s="21" t="s">
        <v>305</v>
      </c>
      <c r="J416" s="21">
        <v>8</v>
      </c>
      <c r="K416" s="21" t="s">
        <v>93</v>
      </c>
      <c r="L416" s="21">
        <v>6</v>
      </c>
      <c r="M416" s="21">
        <v>9</v>
      </c>
      <c r="N416" s="21">
        <v>9</v>
      </c>
      <c r="O416" s="21" t="s">
        <v>43</v>
      </c>
      <c r="P416" s="21">
        <v>9</v>
      </c>
      <c r="Q416" s="21" t="s">
        <v>22</v>
      </c>
      <c r="R416" s="21" t="s">
        <v>174</v>
      </c>
      <c r="S416" s="21">
        <v>8</v>
      </c>
      <c r="T416" s="21" t="s">
        <v>34</v>
      </c>
      <c r="U416" s="21" t="s">
        <v>54</v>
      </c>
      <c r="V416" s="21">
        <v>10</v>
      </c>
      <c r="W416" s="21" t="s">
        <v>517</v>
      </c>
    </row>
    <row r="417" spans="1:23" ht="18.95" customHeight="1">
      <c r="A417" s="7">
        <v>416</v>
      </c>
      <c r="B417" s="19">
        <v>2025</v>
      </c>
      <c r="C417" s="23" t="s">
        <v>432</v>
      </c>
      <c r="D417" s="21" t="s">
        <v>89</v>
      </c>
      <c r="E417" s="13" t="s">
        <v>90</v>
      </c>
      <c r="F417" s="21" t="s">
        <v>16</v>
      </c>
      <c r="G417" s="21" t="s">
        <v>17</v>
      </c>
      <c r="H417" s="21" t="s">
        <v>18</v>
      </c>
      <c r="I417" s="21" t="s">
        <v>305</v>
      </c>
      <c r="J417" s="21">
        <v>4</v>
      </c>
      <c r="K417" s="21" t="s">
        <v>93</v>
      </c>
      <c r="L417" s="21">
        <v>8</v>
      </c>
      <c r="M417" s="21">
        <v>6</v>
      </c>
      <c r="N417" s="21">
        <v>8</v>
      </c>
      <c r="O417" s="21" t="s">
        <v>43</v>
      </c>
      <c r="P417" s="21">
        <v>3</v>
      </c>
      <c r="Q417" s="21" t="s">
        <v>22</v>
      </c>
      <c r="R417" s="21" t="s">
        <v>440</v>
      </c>
      <c r="S417" s="21">
        <v>2</v>
      </c>
      <c r="T417" s="21" t="s">
        <v>34</v>
      </c>
      <c r="U417" s="21" t="s">
        <v>140</v>
      </c>
      <c r="V417" s="21">
        <v>9</v>
      </c>
      <c r="W417" s="21" t="s">
        <v>518</v>
      </c>
    </row>
    <row r="418" spans="1:23" ht="18.95" customHeight="1">
      <c r="A418" s="7">
        <v>417</v>
      </c>
      <c r="B418" s="19">
        <v>2025</v>
      </c>
      <c r="C418" s="23" t="s">
        <v>432</v>
      </c>
      <c r="D418" s="21" t="s">
        <v>89</v>
      </c>
      <c r="E418" s="13" t="s">
        <v>90</v>
      </c>
      <c r="F418" s="21" t="s">
        <v>57</v>
      </c>
      <c r="G418" s="21" t="s">
        <v>17</v>
      </c>
      <c r="H418" s="21" t="s">
        <v>18</v>
      </c>
      <c r="I418" s="21" t="s">
        <v>305</v>
      </c>
      <c r="J418" s="21">
        <v>5</v>
      </c>
      <c r="K418" s="21" t="s">
        <v>93</v>
      </c>
      <c r="L418" s="21">
        <v>4</v>
      </c>
      <c r="M418" s="21">
        <v>10</v>
      </c>
      <c r="N418" s="21">
        <v>8</v>
      </c>
      <c r="O418" s="21" t="s">
        <v>43</v>
      </c>
      <c r="P418" s="21">
        <v>9</v>
      </c>
      <c r="Q418" s="21" t="s">
        <v>22</v>
      </c>
      <c r="R418" s="21" t="s">
        <v>318</v>
      </c>
      <c r="S418" s="21">
        <v>10</v>
      </c>
      <c r="T418" s="21" t="s">
        <v>73</v>
      </c>
      <c r="U418" s="21" t="s">
        <v>80</v>
      </c>
      <c r="V418" s="21">
        <v>6</v>
      </c>
      <c r="W418" s="21" t="s">
        <v>519</v>
      </c>
    </row>
    <row r="419" spans="1:23" ht="18.95" customHeight="1">
      <c r="A419" s="7">
        <v>418</v>
      </c>
      <c r="B419" s="19">
        <v>2025</v>
      </c>
      <c r="C419" s="23" t="s">
        <v>432</v>
      </c>
      <c r="D419" s="21" t="s">
        <v>217</v>
      </c>
      <c r="E419" s="22" t="s">
        <v>56</v>
      </c>
      <c r="F419" s="21" t="s">
        <v>57</v>
      </c>
      <c r="G419" s="21" t="s">
        <v>17</v>
      </c>
      <c r="H419" s="21" t="s">
        <v>18</v>
      </c>
      <c r="I419" s="21" t="s">
        <v>49</v>
      </c>
      <c r="J419" s="21">
        <v>2</v>
      </c>
      <c r="K419" s="21" t="s">
        <v>93</v>
      </c>
      <c r="L419" s="21">
        <v>8</v>
      </c>
      <c r="M419" s="21">
        <v>10</v>
      </c>
      <c r="N419" s="21">
        <v>8</v>
      </c>
      <c r="O419" s="21" t="s">
        <v>43</v>
      </c>
      <c r="P419" s="21">
        <v>10</v>
      </c>
      <c r="Q419" s="21" t="s">
        <v>22</v>
      </c>
      <c r="R419" s="21" t="s">
        <v>350</v>
      </c>
      <c r="S419" s="21">
        <v>10</v>
      </c>
      <c r="T419" s="21" t="s">
        <v>25</v>
      </c>
      <c r="U419" s="21" t="s">
        <v>26</v>
      </c>
      <c r="V419" s="21">
        <v>9</v>
      </c>
      <c r="W419" s="21" t="s">
        <v>520</v>
      </c>
    </row>
    <row r="420" spans="1:23" ht="18.95" customHeight="1">
      <c r="A420" s="7">
        <v>419</v>
      </c>
      <c r="B420" s="19">
        <v>2025</v>
      </c>
      <c r="C420" s="23" t="s">
        <v>432</v>
      </c>
      <c r="D420" s="21" t="s">
        <v>89</v>
      </c>
      <c r="E420" s="13" t="s">
        <v>90</v>
      </c>
      <c r="F420" s="21" t="s">
        <v>57</v>
      </c>
      <c r="G420" s="21" t="s">
        <v>17</v>
      </c>
      <c r="H420" s="21" t="s">
        <v>18</v>
      </c>
      <c r="I420" s="21" t="s">
        <v>305</v>
      </c>
      <c r="J420" s="21">
        <v>6</v>
      </c>
      <c r="K420" s="21" t="s">
        <v>85</v>
      </c>
      <c r="L420" s="21">
        <v>8</v>
      </c>
      <c r="M420" s="21">
        <v>10</v>
      </c>
      <c r="N420" s="21">
        <v>10</v>
      </c>
      <c r="O420" s="21" t="s">
        <v>43</v>
      </c>
      <c r="P420" s="21">
        <v>8</v>
      </c>
      <c r="Q420" s="21" t="s">
        <v>22</v>
      </c>
      <c r="R420" s="21" t="s">
        <v>350</v>
      </c>
      <c r="S420" s="21">
        <v>9</v>
      </c>
      <c r="T420" s="21" t="s">
        <v>61</v>
      </c>
      <c r="U420" s="21" t="s">
        <v>97</v>
      </c>
      <c r="V420" s="21">
        <v>9</v>
      </c>
      <c r="W420" s="21" t="s">
        <v>521</v>
      </c>
    </row>
    <row r="421" spans="1:23" ht="18.95" customHeight="1">
      <c r="A421" s="7">
        <v>420</v>
      </c>
      <c r="B421" s="19">
        <v>2025</v>
      </c>
      <c r="C421" s="23" t="s">
        <v>432</v>
      </c>
      <c r="D421" s="21" t="s">
        <v>89</v>
      </c>
      <c r="E421" s="13" t="s">
        <v>90</v>
      </c>
      <c r="F421" s="21" t="s">
        <v>16</v>
      </c>
      <c r="G421" s="21" t="s">
        <v>17</v>
      </c>
      <c r="H421" s="21" t="s">
        <v>18</v>
      </c>
      <c r="I421" s="21" t="s">
        <v>305</v>
      </c>
      <c r="J421" s="21">
        <v>4</v>
      </c>
      <c r="K421" s="21" t="s">
        <v>93</v>
      </c>
      <c r="L421" s="21">
        <v>8</v>
      </c>
      <c r="M421" s="21">
        <v>6</v>
      </c>
      <c r="N421" s="21">
        <v>9</v>
      </c>
      <c r="O421" s="21" t="s">
        <v>94</v>
      </c>
      <c r="P421" s="21">
        <v>9</v>
      </c>
      <c r="Q421" s="21" t="s">
        <v>22</v>
      </c>
      <c r="R421" s="21" t="s">
        <v>440</v>
      </c>
      <c r="S421" s="21">
        <v>7</v>
      </c>
      <c r="T421" s="21" t="s">
        <v>67</v>
      </c>
      <c r="U421" s="21" t="s">
        <v>54</v>
      </c>
      <c r="V421" s="21">
        <v>9</v>
      </c>
      <c r="W421" s="21" t="s">
        <v>522</v>
      </c>
    </row>
    <row r="422" spans="1:23" ht="18.95" customHeight="1">
      <c r="A422" s="7">
        <v>421</v>
      </c>
      <c r="B422" s="19">
        <v>2025</v>
      </c>
      <c r="C422" s="23" t="s">
        <v>432</v>
      </c>
      <c r="D422" s="21" t="s">
        <v>132</v>
      </c>
      <c r="E422" s="13" t="s">
        <v>90</v>
      </c>
      <c r="F422" s="21" t="s">
        <v>16</v>
      </c>
      <c r="G422" s="21" t="s">
        <v>17</v>
      </c>
      <c r="H422" s="21" t="s">
        <v>18</v>
      </c>
      <c r="I422" s="21" t="s">
        <v>305</v>
      </c>
      <c r="J422" s="21">
        <v>7</v>
      </c>
      <c r="K422" s="21" t="s">
        <v>50</v>
      </c>
      <c r="L422" s="21">
        <v>6</v>
      </c>
      <c r="M422" s="21">
        <v>9</v>
      </c>
      <c r="N422" s="21">
        <v>6</v>
      </c>
      <c r="O422" s="21" t="s">
        <v>43</v>
      </c>
      <c r="P422" s="21">
        <v>6</v>
      </c>
      <c r="Q422" s="21" t="s">
        <v>22</v>
      </c>
      <c r="R422" s="21" t="s">
        <v>331</v>
      </c>
      <c r="S422" s="21">
        <v>7</v>
      </c>
      <c r="T422" s="21" t="s">
        <v>34</v>
      </c>
      <c r="U422" s="21" t="s">
        <v>26</v>
      </c>
      <c r="V422" s="21">
        <v>7</v>
      </c>
      <c r="W422" s="21" t="s">
        <v>523</v>
      </c>
    </row>
    <row r="423" spans="1:23" ht="18.95" customHeight="1">
      <c r="A423" s="7">
        <v>422</v>
      </c>
      <c r="B423" s="19">
        <v>2025</v>
      </c>
      <c r="C423" s="23" t="s">
        <v>432</v>
      </c>
      <c r="D423" s="21" t="s">
        <v>89</v>
      </c>
      <c r="E423" s="13" t="s">
        <v>90</v>
      </c>
      <c r="F423" s="21" t="s">
        <v>57</v>
      </c>
      <c r="G423" s="21" t="s">
        <v>17</v>
      </c>
      <c r="H423" s="21" t="s">
        <v>18</v>
      </c>
      <c r="I423" s="21" t="s">
        <v>305</v>
      </c>
      <c r="J423" s="21">
        <v>7</v>
      </c>
      <c r="K423" s="21" t="s">
        <v>20</v>
      </c>
      <c r="L423" s="21">
        <v>6</v>
      </c>
      <c r="M423" s="21">
        <v>10</v>
      </c>
      <c r="N423" s="21">
        <v>9</v>
      </c>
      <c r="O423" s="21" t="s">
        <v>312</v>
      </c>
      <c r="P423" s="21">
        <v>10</v>
      </c>
      <c r="Q423" s="21" t="s">
        <v>22</v>
      </c>
      <c r="R423" s="21" t="s">
        <v>33</v>
      </c>
      <c r="S423" s="21">
        <v>8</v>
      </c>
      <c r="T423" s="21" t="s">
        <v>34</v>
      </c>
      <c r="U423" s="21" t="s">
        <v>26</v>
      </c>
      <c r="V423" s="21">
        <v>6</v>
      </c>
      <c r="W423" s="21" t="s">
        <v>524</v>
      </c>
    </row>
    <row r="424" spans="1:23" ht="18.95" customHeight="1">
      <c r="A424" s="7">
        <v>423</v>
      </c>
      <c r="B424" s="19">
        <v>2025</v>
      </c>
      <c r="C424" s="23" t="s">
        <v>432</v>
      </c>
      <c r="D424" s="21" t="s">
        <v>83</v>
      </c>
      <c r="E424" s="22" t="s">
        <v>36</v>
      </c>
      <c r="F424" s="21" t="s">
        <v>57</v>
      </c>
      <c r="G424" s="21" t="s">
        <v>17</v>
      </c>
      <c r="H424" s="21" t="s">
        <v>18</v>
      </c>
      <c r="I424" s="21" t="s">
        <v>305</v>
      </c>
      <c r="J424" s="21">
        <v>8</v>
      </c>
      <c r="K424" s="21" t="s">
        <v>93</v>
      </c>
      <c r="L424" s="21">
        <v>9</v>
      </c>
      <c r="M424" s="21">
        <v>10</v>
      </c>
      <c r="N424" s="21">
        <v>7</v>
      </c>
      <c r="O424" s="21" t="s">
        <v>312</v>
      </c>
      <c r="P424" s="21">
        <v>9</v>
      </c>
      <c r="Q424" s="21" t="s">
        <v>22</v>
      </c>
      <c r="R424" s="21" t="s">
        <v>440</v>
      </c>
      <c r="S424" s="21">
        <v>10</v>
      </c>
      <c r="T424" s="21" t="s">
        <v>325</v>
      </c>
      <c r="U424" s="21" t="s">
        <v>54</v>
      </c>
      <c r="V424" s="21">
        <v>9</v>
      </c>
      <c r="W424" s="21" t="s">
        <v>525</v>
      </c>
    </row>
    <row r="425" spans="1:23" ht="18.95" customHeight="1">
      <c r="A425" s="7">
        <v>424</v>
      </c>
      <c r="B425" s="19">
        <v>2025</v>
      </c>
      <c r="C425" s="23" t="s">
        <v>432</v>
      </c>
      <c r="D425" s="21" t="s">
        <v>89</v>
      </c>
      <c r="E425" s="13" t="s">
        <v>90</v>
      </c>
      <c r="F425" s="21" t="s">
        <v>57</v>
      </c>
      <c r="G425" s="21" t="s">
        <v>17</v>
      </c>
      <c r="H425" s="21" t="s">
        <v>18</v>
      </c>
      <c r="I425" s="21" t="s">
        <v>305</v>
      </c>
      <c r="J425" s="21">
        <v>8</v>
      </c>
      <c r="K425" s="21" t="s">
        <v>93</v>
      </c>
      <c r="L425" s="21">
        <v>8</v>
      </c>
      <c r="M425" s="21">
        <v>10</v>
      </c>
      <c r="N425" s="21">
        <v>10</v>
      </c>
      <c r="O425" s="21" t="s">
        <v>94</v>
      </c>
      <c r="P425" s="21">
        <v>10</v>
      </c>
      <c r="Q425" s="21" t="s">
        <v>22</v>
      </c>
      <c r="R425" s="21" t="s">
        <v>350</v>
      </c>
      <c r="S425" s="21">
        <v>10</v>
      </c>
      <c r="T425" s="21" t="s">
        <v>265</v>
      </c>
      <c r="U425" s="21" t="s">
        <v>54</v>
      </c>
      <c r="V425" s="21">
        <v>10</v>
      </c>
      <c r="W425" s="21" t="s">
        <v>526</v>
      </c>
    </row>
    <row r="426" spans="1:23" ht="18.95" customHeight="1">
      <c r="A426" s="7">
        <v>425</v>
      </c>
      <c r="B426" s="19">
        <v>2025</v>
      </c>
      <c r="C426" s="23" t="s">
        <v>432</v>
      </c>
      <c r="D426" s="21" t="s">
        <v>497</v>
      </c>
      <c r="E426" s="22" t="s">
        <v>15</v>
      </c>
      <c r="F426" s="21" t="s">
        <v>57</v>
      </c>
      <c r="G426" s="21" t="s">
        <v>17</v>
      </c>
      <c r="H426" s="21" t="s">
        <v>18</v>
      </c>
      <c r="I426" s="21" t="s">
        <v>305</v>
      </c>
      <c r="J426" s="21">
        <v>7</v>
      </c>
      <c r="K426" s="21" t="s">
        <v>20</v>
      </c>
      <c r="L426" s="21">
        <v>8</v>
      </c>
      <c r="M426" s="21">
        <v>10</v>
      </c>
      <c r="N426" s="21">
        <v>7</v>
      </c>
      <c r="O426" s="21" t="s">
        <v>43</v>
      </c>
      <c r="P426" s="21">
        <v>6</v>
      </c>
      <c r="Q426" s="21" t="s">
        <v>22</v>
      </c>
      <c r="R426" s="21" t="s">
        <v>350</v>
      </c>
      <c r="S426" s="21">
        <v>7</v>
      </c>
      <c r="T426" s="21" t="s">
        <v>34</v>
      </c>
      <c r="U426" s="21" t="s">
        <v>97</v>
      </c>
      <c r="V426" s="21">
        <v>8</v>
      </c>
      <c r="W426" s="21" t="s">
        <v>527</v>
      </c>
    </row>
    <row r="427" spans="1:23" ht="18.95" customHeight="1">
      <c r="A427" s="7">
        <v>426</v>
      </c>
      <c r="B427" s="19">
        <v>2025</v>
      </c>
      <c r="C427" s="23" t="s">
        <v>432</v>
      </c>
      <c r="D427" s="21" t="s">
        <v>89</v>
      </c>
      <c r="E427" s="13" t="s">
        <v>90</v>
      </c>
      <c r="F427" s="21" t="s">
        <v>16</v>
      </c>
      <c r="G427" s="21" t="s">
        <v>17</v>
      </c>
      <c r="H427" s="21" t="s">
        <v>18</v>
      </c>
      <c r="I427" s="21" t="s">
        <v>49</v>
      </c>
      <c r="J427" s="21">
        <v>4</v>
      </c>
      <c r="K427" s="21" t="s">
        <v>32</v>
      </c>
      <c r="L427" s="21">
        <v>5</v>
      </c>
      <c r="M427" s="21">
        <v>10</v>
      </c>
      <c r="N427" s="21">
        <v>6</v>
      </c>
      <c r="O427" s="21" t="s">
        <v>94</v>
      </c>
      <c r="P427" s="21">
        <v>3</v>
      </c>
      <c r="Q427" s="21" t="s">
        <v>22</v>
      </c>
      <c r="R427" s="21" t="s">
        <v>33</v>
      </c>
      <c r="S427" s="21">
        <v>3</v>
      </c>
      <c r="T427" s="21" t="s">
        <v>34</v>
      </c>
      <c r="U427" s="21" t="s">
        <v>62</v>
      </c>
      <c r="V427" s="21">
        <v>10</v>
      </c>
      <c r="W427" s="21" t="s">
        <v>528</v>
      </c>
    </row>
    <row r="428" spans="1:23" ht="18.95" customHeight="1">
      <c r="A428" s="7">
        <v>427</v>
      </c>
      <c r="B428" s="19">
        <v>2025</v>
      </c>
      <c r="C428" s="23" t="s">
        <v>432</v>
      </c>
      <c r="D428" s="21" t="s">
        <v>217</v>
      </c>
      <c r="E428" s="22" t="s">
        <v>56</v>
      </c>
      <c r="F428" s="21" t="s">
        <v>16</v>
      </c>
      <c r="G428" s="21" t="s">
        <v>17</v>
      </c>
      <c r="H428" s="21" t="s">
        <v>18</v>
      </c>
      <c r="I428" s="21" t="s">
        <v>305</v>
      </c>
      <c r="J428" s="21">
        <v>5</v>
      </c>
      <c r="K428" s="21" t="s">
        <v>93</v>
      </c>
      <c r="L428" s="21">
        <v>7</v>
      </c>
      <c r="M428" s="21">
        <v>10</v>
      </c>
      <c r="N428" s="21">
        <v>9</v>
      </c>
      <c r="O428" s="21" t="s">
        <v>312</v>
      </c>
      <c r="P428" s="21">
        <v>4</v>
      </c>
      <c r="Q428" s="21" t="s">
        <v>22</v>
      </c>
      <c r="R428" s="21" t="s">
        <v>350</v>
      </c>
      <c r="S428" s="21">
        <v>5</v>
      </c>
      <c r="T428" s="21" t="s">
        <v>34</v>
      </c>
      <c r="U428" s="21" t="s">
        <v>26</v>
      </c>
      <c r="V428" s="21">
        <v>9</v>
      </c>
      <c r="W428" s="21" t="s">
        <v>529</v>
      </c>
    </row>
    <row r="429" spans="1:23" ht="18.95" customHeight="1">
      <c r="A429" s="7">
        <v>428</v>
      </c>
      <c r="B429" s="19">
        <v>2025</v>
      </c>
      <c r="C429" s="23" t="s">
        <v>432</v>
      </c>
      <c r="D429" s="21" t="s">
        <v>35</v>
      </c>
      <c r="E429" s="22" t="s">
        <v>36</v>
      </c>
      <c r="F429" s="21" t="s">
        <v>57</v>
      </c>
      <c r="G429" s="21" t="s">
        <v>103</v>
      </c>
      <c r="H429" s="21" t="s">
        <v>18</v>
      </c>
      <c r="I429" s="21" t="s">
        <v>170</v>
      </c>
      <c r="J429" s="21">
        <v>4</v>
      </c>
      <c r="K429" s="21" t="s">
        <v>85</v>
      </c>
      <c r="L429" s="21">
        <v>10</v>
      </c>
      <c r="M429" s="21">
        <v>10</v>
      </c>
      <c r="N429" s="21">
        <v>10</v>
      </c>
      <c r="O429" s="21" t="s">
        <v>21</v>
      </c>
      <c r="P429" s="21">
        <v>7</v>
      </c>
      <c r="Q429" s="21" t="s">
        <v>22</v>
      </c>
      <c r="R429" s="21" t="s">
        <v>33</v>
      </c>
      <c r="S429" s="21">
        <v>10</v>
      </c>
      <c r="T429" s="21" t="s">
        <v>34</v>
      </c>
      <c r="U429" s="21" t="s">
        <v>54</v>
      </c>
      <c r="V429" s="21">
        <v>10</v>
      </c>
      <c r="W429" s="21" t="s">
        <v>283</v>
      </c>
    </row>
  </sheetData>
  <autoFilter ref="A1:U429" xr:uid="{EA149036-B03D-D948-9B15-BC2FE27D5D46}"/>
  <sortState ref="B3:W429">
    <sortCondition ref="B2:B42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F8C2-8BFB-4D09-981E-64F564930A36}">
  <dimension ref="A1:F430"/>
  <sheetViews>
    <sheetView workbookViewId="0">
      <selection activeCell="D2" sqref="D2:F19"/>
    </sheetView>
  </sheetViews>
  <sheetFormatPr defaultRowHeight="15"/>
  <cols>
    <col min="1" max="1" width="15.44140625" customWidth="1"/>
    <col min="4" max="4" width="20.77734375" bestFit="1" customWidth="1"/>
  </cols>
  <sheetData>
    <row r="1" spans="1:6" ht="63">
      <c r="A1" s="2" t="s">
        <v>1</v>
      </c>
      <c r="B1" s="2" t="s">
        <v>542</v>
      </c>
    </row>
    <row r="2" spans="1:6" ht="16.5" thickBot="1">
      <c r="A2" s="8">
        <v>1957</v>
      </c>
      <c r="B2">
        <f>2026-A2+18</f>
        <v>87</v>
      </c>
    </row>
    <row r="3" spans="1:6" ht="15.75">
      <c r="A3" s="12">
        <v>1964</v>
      </c>
      <c r="B3">
        <f t="shared" ref="B3:B66" si="0">2026-A3+18</f>
        <v>80</v>
      </c>
      <c r="D3" s="26" t="s">
        <v>542</v>
      </c>
      <c r="E3" s="26"/>
    </row>
    <row r="4" spans="1:6" ht="15.75">
      <c r="A4" s="8">
        <v>1965</v>
      </c>
      <c r="B4">
        <f t="shared" si="0"/>
        <v>79</v>
      </c>
      <c r="D4" s="24"/>
      <c r="E4" s="24"/>
    </row>
    <row r="5" spans="1:6" ht="15.75">
      <c r="A5" s="12">
        <v>1965</v>
      </c>
      <c r="B5">
        <f t="shared" si="0"/>
        <v>79</v>
      </c>
      <c r="D5" s="24" t="s">
        <v>543</v>
      </c>
      <c r="E5" s="24">
        <v>44.65654205607477</v>
      </c>
    </row>
    <row r="6" spans="1:6" ht="15.75">
      <c r="A6" s="8">
        <v>1965</v>
      </c>
      <c r="B6">
        <f t="shared" si="0"/>
        <v>79</v>
      </c>
      <c r="D6" s="24" t="s">
        <v>544</v>
      </c>
      <c r="E6" s="24">
        <v>1.0040913908217652</v>
      </c>
    </row>
    <row r="7" spans="1:6" ht="15.75">
      <c r="A7" s="12">
        <v>1965</v>
      </c>
      <c r="B7">
        <f t="shared" si="0"/>
        <v>79</v>
      </c>
      <c r="D7" s="24" t="s">
        <v>545</v>
      </c>
      <c r="E7" s="24">
        <v>49</v>
      </c>
    </row>
    <row r="8" spans="1:6" ht="15.75">
      <c r="A8" s="8">
        <v>1965</v>
      </c>
      <c r="B8">
        <f t="shared" si="0"/>
        <v>79</v>
      </c>
      <c r="D8" s="24" t="s">
        <v>546</v>
      </c>
      <c r="E8" s="24">
        <v>20</v>
      </c>
    </row>
    <row r="9" spans="1:6" ht="15.75">
      <c r="A9" s="12">
        <v>1966</v>
      </c>
      <c r="B9">
        <f t="shared" si="0"/>
        <v>78</v>
      </c>
      <c r="D9" s="24" t="s">
        <v>547</v>
      </c>
      <c r="E9" s="24">
        <v>20.772804217061829</v>
      </c>
      <c r="F9">
        <f>SQRT(E10)</f>
        <v>20.772804217061829</v>
      </c>
    </row>
    <row r="10" spans="1:6" ht="15.75">
      <c r="A10" s="8">
        <v>1966</v>
      </c>
      <c r="B10">
        <f t="shared" si="0"/>
        <v>78</v>
      </c>
      <c r="D10" s="24" t="s">
        <v>548</v>
      </c>
      <c r="E10" s="24">
        <v>431.50939504038166</v>
      </c>
    </row>
    <row r="11" spans="1:6" ht="15.75">
      <c r="A11" s="12">
        <v>1967</v>
      </c>
      <c r="B11">
        <f t="shared" si="0"/>
        <v>77</v>
      </c>
      <c r="D11" s="24" t="s">
        <v>549</v>
      </c>
      <c r="E11" s="24">
        <v>-1.5974882480322803</v>
      </c>
    </row>
    <row r="12" spans="1:6" ht="15.75">
      <c r="A12" s="8">
        <v>1967</v>
      </c>
      <c r="B12">
        <f t="shared" si="0"/>
        <v>77</v>
      </c>
      <c r="D12" s="24" t="s">
        <v>550</v>
      </c>
      <c r="E12" s="24">
        <v>-5.5488968114078101E-2</v>
      </c>
    </row>
    <row r="13" spans="1:6" ht="15.75">
      <c r="A13" s="12">
        <v>1967</v>
      </c>
      <c r="B13">
        <f t="shared" si="0"/>
        <v>77</v>
      </c>
      <c r="D13" s="24" t="s">
        <v>551</v>
      </c>
      <c r="E13" s="24">
        <v>68</v>
      </c>
    </row>
    <row r="14" spans="1:6" ht="15.75">
      <c r="A14" s="8">
        <v>1967</v>
      </c>
      <c r="B14">
        <f t="shared" si="0"/>
        <v>77</v>
      </c>
      <c r="D14" s="24" t="s">
        <v>552</v>
      </c>
      <c r="E14" s="24">
        <v>19</v>
      </c>
    </row>
    <row r="15" spans="1:6" ht="15.75">
      <c r="A15" s="12">
        <v>1968</v>
      </c>
      <c r="B15">
        <f t="shared" si="0"/>
        <v>76</v>
      </c>
      <c r="D15" s="24" t="s">
        <v>553</v>
      </c>
      <c r="E15" s="24">
        <v>87</v>
      </c>
    </row>
    <row r="16" spans="1:6" ht="15.75">
      <c r="A16" s="8">
        <v>1969</v>
      </c>
      <c r="B16">
        <f t="shared" si="0"/>
        <v>75</v>
      </c>
      <c r="D16" s="24" t="s">
        <v>554</v>
      </c>
      <c r="E16" s="24">
        <v>19113</v>
      </c>
    </row>
    <row r="17" spans="1:6" ht="15.75">
      <c r="A17" s="12">
        <v>1969</v>
      </c>
      <c r="B17">
        <f t="shared" si="0"/>
        <v>75</v>
      </c>
      <c r="D17" s="24" t="s">
        <v>555</v>
      </c>
      <c r="E17" s="24">
        <v>428</v>
      </c>
    </row>
    <row r="18" spans="1:6" ht="16.5" thickBot="1">
      <c r="A18" s="8">
        <v>1970</v>
      </c>
      <c r="B18">
        <f t="shared" si="0"/>
        <v>74</v>
      </c>
      <c r="D18" s="25" t="s">
        <v>556</v>
      </c>
      <c r="E18" s="25">
        <v>1.9735769405418446</v>
      </c>
    </row>
    <row r="19" spans="1:6" ht="15.75">
      <c r="A19" s="12">
        <v>1971</v>
      </c>
      <c r="B19">
        <f t="shared" si="0"/>
        <v>73</v>
      </c>
      <c r="D19" s="24" t="s">
        <v>558</v>
      </c>
      <c r="E19">
        <f>E9/E5*100</f>
        <v>46.516822083934819</v>
      </c>
      <c r="F19" t="s">
        <v>559</v>
      </c>
    </row>
    <row r="20" spans="1:6" ht="15.75">
      <c r="A20" s="8">
        <v>1972</v>
      </c>
      <c r="B20">
        <f t="shared" si="0"/>
        <v>72</v>
      </c>
    </row>
    <row r="21" spans="1:6" ht="15.75">
      <c r="A21" s="12">
        <v>1972</v>
      </c>
      <c r="B21">
        <f t="shared" si="0"/>
        <v>72</v>
      </c>
    </row>
    <row r="22" spans="1:6" ht="15.75">
      <c r="A22" s="8">
        <v>1972</v>
      </c>
      <c r="B22">
        <f t="shared" si="0"/>
        <v>72</v>
      </c>
    </row>
    <row r="23" spans="1:6" ht="15.75">
      <c r="A23" s="12">
        <v>1972</v>
      </c>
      <c r="B23">
        <f t="shared" si="0"/>
        <v>72</v>
      </c>
    </row>
    <row r="24" spans="1:6" ht="15.75">
      <c r="A24" s="8">
        <v>1973</v>
      </c>
      <c r="B24">
        <f t="shared" si="0"/>
        <v>71</v>
      </c>
    </row>
    <row r="25" spans="1:6" ht="15.75">
      <c r="A25" s="12">
        <v>1973</v>
      </c>
      <c r="B25">
        <f t="shared" si="0"/>
        <v>71</v>
      </c>
    </row>
    <row r="26" spans="1:6" ht="15.75">
      <c r="A26" s="8">
        <v>1974</v>
      </c>
      <c r="B26">
        <f t="shared" si="0"/>
        <v>70</v>
      </c>
    </row>
    <row r="27" spans="1:6" ht="15.75">
      <c r="A27" s="12">
        <v>1974</v>
      </c>
      <c r="B27">
        <f t="shared" si="0"/>
        <v>70</v>
      </c>
    </row>
    <row r="28" spans="1:6" ht="15.75">
      <c r="A28" s="8">
        <v>1974</v>
      </c>
      <c r="B28">
        <f t="shared" si="0"/>
        <v>70</v>
      </c>
    </row>
    <row r="29" spans="1:6" ht="15.75">
      <c r="A29" s="12">
        <v>1974</v>
      </c>
      <c r="B29">
        <f t="shared" si="0"/>
        <v>70</v>
      </c>
    </row>
    <row r="30" spans="1:6" ht="15.75">
      <c r="A30" s="8">
        <v>1975</v>
      </c>
      <c r="B30">
        <f t="shared" si="0"/>
        <v>69</v>
      </c>
    </row>
    <row r="31" spans="1:6" ht="15.75">
      <c r="A31" s="12">
        <v>1975</v>
      </c>
      <c r="B31">
        <f t="shared" si="0"/>
        <v>69</v>
      </c>
    </row>
    <row r="32" spans="1:6" ht="15.75">
      <c r="A32" s="8">
        <v>1975</v>
      </c>
      <c r="B32">
        <f t="shared" si="0"/>
        <v>69</v>
      </c>
    </row>
    <row r="33" spans="1:2" ht="15.75">
      <c r="A33" s="12">
        <v>1975</v>
      </c>
      <c r="B33">
        <f t="shared" si="0"/>
        <v>69</v>
      </c>
    </row>
    <row r="34" spans="1:2" ht="15.75">
      <c r="A34" s="8">
        <v>1975</v>
      </c>
      <c r="B34">
        <f t="shared" si="0"/>
        <v>69</v>
      </c>
    </row>
    <row r="35" spans="1:2" ht="15.75">
      <c r="A35" s="12">
        <v>1975</v>
      </c>
      <c r="B35">
        <f t="shared" si="0"/>
        <v>69</v>
      </c>
    </row>
    <row r="36" spans="1:2" ht="15.75">
      <c r="A36" s="8">
        <v>1975</v>
      </c>
      <c r="B36">
        <f t="shared" si="0"/>
        <v>69</v>
      </c>
    </row>
    <row r="37" spans="1:2" ht="15.75">
      <c r="A37" s="12">
        <v>1975</v>
      </c>
      <c r="B37">
        <f t="shared" si="0"/>
        <v>69</v>
      </c>
    </row>
    <row r="38" spans="1:2" ht="15.75">
      <c r="A38" s="8">
        <v>1975</v>
      </c>
      <c r="B38">
        <f t="shared" si="0"/>
        <v>69</v>
      </c>
    </row>
    <row r="39" spans="1:2" ht="15.75">
      <c r="A39" s="12">
        <v>1975</v>
      </c>
      <c r="B39">
        <f t="shared" si="0"/>
        <v>69</v>
      </c>
    </row>
    <row r="40" spans="1:2" ht="15.75">
      <c r="A40" s="8">
        <v>1975</v>
      </c>
      <c r="B40">
        <f t="shared" si="0"/>
        <v>69</v>
      </c>
    </row>
    <row r="41" spans="1:2" ht="15.75">
      <c r="A41" s="12">
        <v>1976</v>
      </c>
      <c r="B41">
        <f t="shared" si="0"/>
        <v>68</v>
      </c>
    </row>
    <row r="42" spans="1:2" ht="15.75">
      <c r="A42" s="8">
        <v>1976</v>
      </c>
      <c r="B42">
        <f t="shared" si="0"/>
        <v>68</v>
      </c>
    </row>
    <row r="43" spans="1:2" ht="15.75">
      <c r="A43" s="12">
        <v>1976</v>
      </c>
      <c r="B43">
        <f t="shared" si="0"/>
        <v>68</v>
      </c>
    </row>
    <row r="44" spans="1:2" ht="15.75">
      <c r="A44" s="8">
        <v>1976</v>
      </c>
      <c r="B44">
        <f t="shared" si="0"/>
        <v>68</v>
      </c>
    </row>
    <row r="45" spans="1:2" ht="15.75">
      <c r="A45" s="12">
        <v>1976</v>
      </c>
      <c r="B45">
        <f t="shared" si="0"/>
        <v>68</v>
      </c>
    </row>
    <row r="46" spans="1:2" ht="15.75">
      <c r="A46" s="8">
        <v>1976</v>
      </c>
      <c r="B46">
        <f t="shared" si="0"/>
        <v>68</v>
      </c>
    </row>
    <row r="47" spans="1:2" ht="15.75">
      <c r="A47" s="12">
        <v>1976</v>
      </c>
      <c r="B47">
        <f t="shared" si="0"/>
        <v>68</v>
      </c>
    </row>
    <row r="48" spans="1:2" ht="15.75">
      <c r="A48" s="8">
        <v>1976</v>
      </c>
      <c r="B48">
        <f t="shared" si="0"/>
        <v>68</v>
      </c>
    </row>
    <row r="49" spans="1:2" ht="15.75">
      <c r="A49" s="12">
        <v>1976</v>
      </c>
      <c r="B49">
        <f t="shared" si="0"/>
        <v>68</v>
      </c>
    </row>
    <row r="50" spans="1:2" ht="15.75">
      <c r="A50" s="8">
        <v>1976</v>
      </c>
      <c r="B50">
        <f t="shared" si="0"/>
        <v>68</v>
      </c>
    </row>
    <row r="51" spans="1:2" ht="15.75">
      <c r="A51" s="12">
        <v>1976</v>
      </c>
      <c r="B51">
        <f t="shared" si="0"/>
        <v>68</v>
      </c>
    </row>
    <row r="52" spans="1:2" ht="15.75">
      <c r="A52" s="8">
        <v>1976</v>
      </c>
      <c r="B52">
        <f t="shared" si="0"/>
        <v>68</v>
      </c>
    </row>
    <row r="53" spans="1:2" ht="15.75">
      <c r="A53" s="12">
        <v>1976</v>
      </c>
      <c r="B53">
        <f t="shared" si="0"/>
        <v>68</v>
      </c>
    </row>
    <row r="54" spans="1:2" ht="15.75">
      <c r="A54" s="8">
        <v>1977</v>
      </c>
      <c r="B54">
        <f t="shared" si="0"/>
        <v>67</v>
      </c>
    </row>
    <row r="55" spans="1:2" ht="15.75">
      <c r="A55" s="12">
        <v>1977</v>
      </c>
      <c r="B55">
        <f t="shared" si="0"/>
        <v>67</v>
      </c>
    </row>
    <row r="56" spans="1:2" ht="15.75">
      <c r="A56" s="8">
        <v>1977</v>
      </c>
      <c r="B56">
        <f t="shared" si="0"/>
        <v>67</v>
      </c>
    </row>
    <row r="57" spans="1:2" ht="15.75">
      <c r="A57" s="12">
        <v>1977</v>
      </c>
      <c r="B57">
        <f t="shared" si="0"/>
        <v>67</v>
      </c>
    </row>
    <row r="58" spans="1:2" ht="15.75">
      <c r="A58" s="8">
        <v>1977</v>
      </c>
      <c r="B58">
        <f t="shared" si="0"/>
        <v>67</v>
      </c>
    </row>
    <row r="59" spans="1:2" ht="15.75">
      <c r="A59" s="12">
        <v>1977</v>
      </c>
      <c r="B59">
        <f t="shared" si="0"/>
        <v>67</v>
      </c>
    </row>
    <row r="60" spans="1:2" ht="15.75">
      <c r="A60" s="8">
        <v>1977</v>
      </c>
      <c r="B60">
        <f t="shared" si="0"/>
        <v>67</v>
      </c>
    </row>
    <row r="61" spans="1:2" ht="15.75">
      <c r="A61" s="12">
        <v>1977</v>
      </c>
      <c r="B61">
        <f t="shared" si="0"/>
        <v>67</v>
      </c>
    </row>
    <row r="62" spans="1:2" ht="15.75">
      <c r="A62" s="8">
        <v>1977</v>
      </c>
      <c r="B62">
        <f t="shared" si="0"/>
        <v>67</v>
      </c>
    </row>
    <row r="63" spans="1:2" ht="15.75">
      <c r="A63" s="12">
        <v>1977</v>
      </c>
      <c r="B63">
        <f t="shared" si="0"/>
        <v>67</v>
      </c>
    </row>
    <row r="64" spans="1:2" ht="15.75">
      <c r="A64" s="8">
        <v>1977</v>
      </c>
      <c r="B64">
        <f t="shared" si="0"/>
        <v>67</v>
      </c>
    </row>
    <row r="65" spans="1:2" ht="15.75">
      <c r="A65" s="12">
        <v>1977</v>
      </c>
      <c r="B65">
        <f t="shared" si="0"/>
        <v>67</v>
      </c>
    </row>
    <row r="66" spans="1:2" ht="15.75">
      <c r="A66" s="8">
        <v>1977</v>
      </c>
      <c r="B66">
        <f t="shared" si="0"/>
        <v>67</v>
      </c>
    </row>
    <row r="67" spans="1:2" ht="15.75">
      <c r="A67" s="12">
        <v>1977</v>
      </c>
      <c r="B67">
        <f t="shared" ref="B67:B130" si="1">2026-A67+18</f>
        <v>67</v>
      </c>
    </row>
    <row r="68" spans="1:2" ht="15.75">
      <c r="A68" s="8">
        <v>1977</v>
      </c>
      <c r="B68">
        <f t="shared" si="1"/>
        <v>67</v>
      </c>
    </row>
    <row r="69" spans="1:2" ht="15.75">
      <c r="A69" s="12">
        <v>1977</v>
      </c>
      <c r="B69">
        <f t="shared" si="1"/>
        <v>67</v>
      </c>
    </row>
    <row r="70" spans="1:2" ht="15.75">
      <c r="A70" s="8">
        <v>1977</v>
      </c>
      <c r="B70">
        <f t="shared" si="1"/>
        <v>67</v>
      </c>
    </row>
    <row r="71" spans="1:2" ht="15.75">
      <c r="A71" s="12">
        <v>1977</v>
      </c>
      <c r="B71">
        <f t="shared" si="1"/>
        <v>67</v>
      </c>
    </row>
    <row r="72" spans="1:2" ht="15.75">
      <c r="A72" s="8">
        <v>1977</v>
      </c>
      <c r="B72">
        <f t="shared" si="1"/>
        <v>67</v>
      </c>
    </row>
    <row r="73" spans="1:2" ht="15.75">
      <c r="A73" s="12">
        <v>1978</v>
      </c>
      <c r="B73">
        <f t="shared" si="1"/>
        <v>66</v>
      </c>
    </row>
    <row r="74" spans="1:2" ht="15.75">
      <c r="A74" s="8">
        <v>1978</v>
      </c>
      <c r="B74">
        <f t="shared" si="1"/>
        <v>66</v>
      </c>
    </row>
    <row r="75" spans="1:2" ht="15.75">
      <c r="A75" s="12">
        <v>1978</v>
      </c>
      <c r="B75">
        <f t="shared" si="1"/>
        <v>66</v>
      </c>
    </row>
    <row r="76" spans="1:2" ht="15.75">
      <c r="A76" s="8">
        <v>1978</v>
      </c>
      <c r="B76">
        <f t="shared" si="1"/>
        <v>66</v>
      </c>
    </row>
    <row r="77" spans="1:2" ht="15.75">
      <c r="A77" s="12">
        <v>1978</v>
      </c>
      <c r="B77">
        <f t="shared" si="1"/>
        <v>66</v>
      </c>
    </row>
    <row r="78" spans="1:2" ht="15.75">
      <c r="A78" s="8">
        <v>1978</v>
      </c>
      <c r="B78">
        <f t="shared" si="1"/>
        <v>66</v>
      </c>
    </row>
    <row r="79" spans="1:2" ht="15.75">
      <c r="A79" s="12">
        <v>1978</v>
      </c>
      <c r="B79">
        <f t="shared" si="1"/>
        <v>66</v>
      </c>
    </row>
    <row r="80" spans="1:2" ht="15.75">
      <c r="A80" s="8">
        <v>1978</v>
      </c>
      <c r="B80">
        <f t="shared" si="1"/>
        <v>66</v>
      </c>
    </row>
    <row r="81" spans="1:2" ht="15.75">
      <c r="A81" s="12">
        <v>1978</v>
      </c>
      <c r="B81">
        <f t="shared" si="1"/>
        <v>66</v>
      </c>
    </row>
    <row r="82" spans="1:2" ht="15.75">
      <c r="A82" s="8">
        <v>1978</v>
      </c>
      <c r="B82">
        <f t="shared" si="1"/>
        <v>66</v>
      </c>
    </row>
    <row r="83" spans="1:2" ht="15.75">
      <c r="A83" s="12">
        <v>1978</v>
      </c>
      <c r="B83">
        <f t="shared" si="1"/>
        <v>66</v>
      </c>
    </row>
    <row r="84" spans="1:2" ht="15.75">
      <c r="A84" s="8">
        <v>1978</v>
      </c>
      <c r="B84">
        <f t="shared" si="1"/>
        <v>66</v>
      </c>
    </row>
    <row r="85" spans="1:2" ht="15.75">
      <c r="A85" s="12">
        <v>1978</v>
      </c>
      <c r="B85">
        <f t="shared" si="1"/>
        <v>66</v>
      </c>
    </row>
    <row r="86" spans="1:2" ht="15.75">
      <c r="A86" s="8">
        <v>1978</v>
      </c>
      <c r="B86">
        <f t="shared" si="1"/>
        <v>66</v>
      </c>
    </row>
    <row r="87" spans="1:2" ht="15.75">
      <c r="A87" s="12">
        <v>1978</v>
      </c>
      <c r="B87">
        <f t="shared" si="1"/>
        <v>66</v>
      </c>
    </row>
    <row r="88" spans="1:2" ht="15.75">
      <c r="A88" s="8">
        <v>1978</v>
      </c>
      <c r="B88">
        <f t="shared" si="1"/>
        <v>66</v>
      </c>
    </row>
    <row r="89" spans="1:2" ht="15.75">
      <c r="A89" s="12">
        <v>1978</v>
      </c>
      <c r="B89">
        <f t="shared" si="1"/>
        <v>66</v>
      </c>
    </row>
    <row r="90" spans="1:2" ht="15.75">
      <c r="A90" s="8">
        <v>1978</v>
      </c>
      <c r="B90">
        <f t="shared" si="1"/>
        <v>66</v>
      </c>
    </row>
    <row r="91" spans="1:2" ht="15.75">
      <c r="A91" s="12">
        <v>1978</v>
      </c>
      <c r="B91">
        <f t="shared" si="1"/>
        <v>66</v>
      </c>
    </row>
    <row r="92" spans="1:2" ht="15.75">
      <c r="A92" s="8">
        <v>1978</v>
      </c>
      <c r="B92">
        <f t="shared" si="1"/>
        <v>66</v>
      </c>
    </row>
    <row r="93" spans="1:2" ht="15.75">
      <c r="A93" s="12">
        <v>1978</v>
      </c>
      <c r="B93">
        <f t="shared" si="1"/>
        <v>66</v>
      </c>
    </row>
    <row r="94" spans="1:2" ht="15.75">
      <c r="A94" s="8">
        <v>1979</v>
      </c>
      <c r="B94">
        <f t="shared" si="1"/>
        <v>65</v>
      </c>
    </row>
    <row r="95" spans="1:2" ht="15.75">
      <c r="A95" s="12">
        <v>1979</v>
      </c>
      <c r="B95">
        <f t="shared" si="1"/>
        <v>65</v>
      </c>
    </row>
    <row r="96" spans="1:2" ht="15.75">
      <c r="A96" s="8">
        <v>1979</v>
      </c>
      <c r="B96">
        <f t="shared" si="1"/>
        <v>65</v>
      </c>
    </row>
    <row r="97" spans="1:2" ht="15.75">
      <c r="A97" s="12">
        <v>1979</v>
      </c>
      <c r="B97">
        <f t="shared" si="1"/>
        <v>65</v>
      </c>
    </row>
    <row r="98" spans="1:2" ht="15.75">
      <c r="A98" s="8">
        <v>1979</v>
      </c>
      <c r="B98">
        <f t="shared" si="1"/>
        <v>65</v>
      </c>
    </row>
    <row r="99" spans="1:2" ht="15.75">
      <c r="A99" s="12">
        <v>1979</v>
      </c>
      <c r="B99">
        <f t="shared" si="1"/>
        <v>65</v>
      </c>
    </row>
    <row r="100" spans="1:2" ht="15.75">
      <c r="A100" s="8">
        <v>1979</v>
      </c>
      <c r="B100">
        <f t="shared" si="1"/>
        <v>65</v>
      </c>
    </row>
    <row r="101" spans="1:2" ht="15.75">
      <c r="A101" s="12">
        <v>1979</v>
      </c>
      <c r="B101">
        <f t="shared" si="1"/>
        <v>65</v>
      </c>
    </row>
    <row r="102" spans="1:2" ht="15.75">
      <c r="A102" s="8">
        <v>1979</v>
      </c>
      <c r="B102">
        <f t="shared" si="1"/>
        <v>65</v>
      </c>
    </row>
    <row r="103" spans="1:2" ht="15.75">
      <c r="A103" s="12">
        <v>1979</v>
      </c>
      <c r="B103">
        <f t="shared" si="1"/>
        <v>65</v>
      </c>
    </row>
    <row r="104" spans="1:2" ht="15.75">
      <c r="A104" s="8">
        <v>1979</v>
      </c>
      <c r="B104">
        <f t="shared" si="1"/>
        <v>65</v>
      </c>
    </row>
    <row r="105" spans="1:2" ht="15.75">
      <c r="A105" s="12">
        <v>1979</v>
      </c>
      <c r="B105">
        <f t="shared" si="1"/>
        <v>65</v>
      </c>
    </row>
    <row r="106" spans="1:2" ht="15.75">
      <c r="A106" s="8">
        <v>1979</v>
      </c>
      <c r="B106">
        <f t="shared" si="1"/>
        <v>65</v>
      </c>
    </row>
    <row r="107" spans="1:2" ht="15.75">
      <c r="A107" s="12">
        <v>1979</v>
      </c>
      <c r="B107">
        <f t="shared" si="1"/>
        <v>65</v>
      </c>
    </row>
    <row r="108" spans="1:2" ht="15.75">
      <c r="A108" s="8">
        <v>1979</v>
      </c>
      <c r="B108">
        <f t="shared" si="1"/>
        <v>65</v>
      </c>
    </row>
    <row r="109" spans="1:2" ht="15.75">
      <c r="A109" s="12">
        <v>1979</v>
      </c>
      <c r="B109">
        <f t="shared" si="1"/>
        <v>65</v>
      </c>
    </row>
    <row r="110" spans="1:2" ht="15.75">
      <c r="A110" s="8">
        <v>1979</v>
      </c>
      <c r="B110">
        <f t="shared" si="1"/>
        <v>65</v>
      </c>
    </row>
    <row r="111" spans="1:2" ht="15.75">
      <c r="A111" s="12">
        <v>1979</v>
      </c>
      <c r="B111">
        <f t="shared" si="1"/>
        <v>65</v>
      </c>
    </row>
    <row r="112" spans="1:2" ht="15.75">
      <c r="A112" s="8">
        <v>1979</v>
      </c>
      <c r="B112">
        <f t="shared" si="1"/>
        <v>65</v>
      </c>
    </row>
    <row r="113" spans="1:2" ht="15.75">
      <c r="A113" s="8">
        <v>1979</v>
      </c>
      <c r="B113">
        <f t="shared" si="1"/>
        <v>65</v>
      </c>
    </row>
    <row r="114" spans="1:2" ht="15.75">
      <c r="A114" s="12">
        <v>1979</v>
      </c>
      <c r="B114">
        <f t="shared" si="1"/>
        <v>65</v>
      </c>
    </row>
    <row r="115" spans="1:2" ht="15.75">
      <c r="A115" s="8">
        <v>1979</v>
      </c>
      <c r="B115">
        <f t="shared" si="1"/>
        <v>65</v>
      </c>
    </row>
    <row r="116" spans="1:2" ht="15.75">
      <c r="A116" s="12">
        <v>1979</v>
      </c>
      <c r="B116">
        <f t="shared" si="1"/>
        <v>65</v>
      </c>
    </row>
    <row r="117" spans="1:2" ht="15.75">
      <c r="A117" s="8">
        <v>1979</v>
      </c>
      <c r="B117">
        <f t="shared" si="1"/>
        <v>65</v>
      </c>
    </row>
    <row r="118" spans="1:2" ht="15.75">
      <c r="A118" s="12">
        <v>1979</v>
      </c>
      <c r="B118">
        <f t="shared" si="1"/>
        <v>65</v>
      </c>
    </row>
    <row r="119" spans="1:2" ht="15.75">
      <c r="A119" s="8">
        <v>1979</v>
      </c>
      <c r="B119">
        <f t="shared" si="1"/>
        <v>65</v>
      </c>
    </row>
    <row r="120" spans="1:2" ht="15.75">
      <c r="A120" s="12">
        <v>1979</v>
      </c>
      <c r="B120">
        <f t="shared" si="1"/>
        <v>65</v>
      </c>
    </row>
    <row r="121" spans="1:2" ht="15.75">
      <c r="A121" s="8">
        <v>1979</v>
      </c>
      <c r="B121">
        <f t="shared" si="1"/>
        <v>65</v>
      </c>
    </row>
    <row r="122" spans="1:2" ht="15.75">
      <c r="A122" s="12">
        <v>1979</v>
      </c>
      <c r="B122">
        <f t="shared" si="1"/>
        <v>65</v>
      </c>
    </row>
    <row r="123" spans="1:2" ht="15.75">
      <c r="A123" s="8">
        <v>1979</v>
      </c>
      <c r="B123">
        <f t="shared" si="1"/>
        <v>65</v>
      </c>
    </row>
    <row r="124" spans="1:2" ht="15.75">
      <c r="A124" s="12">
        <v>1979</v>
      </c>
      <c r="B124">
        <f t="shared" si="1"/>
        <v>65</v>
      </c>
    </row>
    <row r="125" spans="1:2" ht="15.75">
      <c r="A125" s="8">
        <v>1979</v>
      </c>
      <c r="B125">
        <f t="shared" si="1"/>
        <v>65</v>
      </c>
    </row>
    <row r="126" spans="1:2" ht="15.75">
      <c r="A126" s="12">
        <v>1979</v>
      </c>
      <c r="B126">
        <f t="shared" si="1"/>
        <v>65</v>
      </c>
    </row>
    <row r="127" spans="1:2" ht="15.75">
      <c r="A127" s="8">
        <v>1979</v>
      </c>
      <c r="B127">
        <f t="shared" si="1"/>
        <v>65</v>
      </c>
    </row>
    <row r="128" spans="1:2" ht="15.75">
      <c r="A128" s="12">
        <v>1979</v>
      </c>
      <c r="B128">
        <f t="shared" si="1"/>
        <v>65</v>
      </c>
    </row>
    <row r="129" spans="1:2" ht="15.75">
      <c r="A129" s="8">
        <v>1979</v>
      </c>
      <c r="B129">
        <f t="shared" si="1"/>
        <v>65</v>
      </c>
    </row>
    <row r="130" spans="1:2" ht="15.75">
      <c r="A130" s="12">
        <v>1979</v>
      </c>
      <c r="B130">
        <f t="shared" si="1"/>
        <v>65</v>
      </c>
    </row>
    <row r="131" spans="1:2" ht="15.75">
      <c r="A131" s="8">
        <v>1979</v>
      </c>
      <c r="B131">
        <f t="shared" ref="B131:B194" si="2">2026-A131+18</f>
        <v>65</v>
      </c>
    </row>
    <row r="132" spans="1:2" ht="15.75">
      <c r="A132" s="15">
        <v>1979</v>
      </c>
      <c r="B132">
        <f t="shared" si="2"/>
        <v>65</v>
      </c>
    </row>
    <row r="133" spans="1:2" ht="15.75">
      <c r="A133" s="17">
        <v>1979</v>
      </c>
      <c r="B133">
        <f t="shared" si="2"/>
        <v>65</v>
      </c>
    </row>
    <row r="134" spans="1:2" ht="15.75">
      <c r="A134" s="17">
        <v>1979</v>
      </c>
      <c r="B134">
        <f t="shared" si="2"/>
        <v>65</v>
      </c>
    </row>
    <row r="135" spans="1:2" ht="15.75">
      <c r="A135" s="17">
        <v>1979</v>
      </c>
      <c r="B135">
        <f t="shared" si="2"/>
        <v>65</v>
      </c>
    </row>
    <row r="136" spans="1:2" ht="15.75">
      <c r="A136" s="17">
        <v>1979</v>
      </c>
      <c r="B136">
        <f t="shared" si="2"/>
        <v>65</v>
      </c>
    </row>
    <row r="137" spans="1:2" ht="15.75">
      <c r="A137" s="15">
        <v>1979</v>
      </c>
      <c r="B137">
        <f t="shared" si="2"/>
        <v>65</v>
      </c>
    </row>
    <row r="138" spans="1:2" ht="15.75">
      <c r="A138" s="17">
        <v>1979</v>
      </c>
      <c r="B138">
        <f t="shared" si="2"/>
        <v>65</v>
      </c>
    </row>
    <row r="139" spans="1:2" ht="15.75">
      <c r="A139" s="15">
        <v>1979</v>
      </c>
      <c r="B139">
        <f t="shared" si="2"/>
        <v>65</v>
      </c>
    </row>
    <row r="140" spans="1:2" ht="15.75">
      <c r="A140" s="15">
        <v>1979</v>
      </c>
      <c r="B140">
        <f t="shared" si="2"/>
        <v>65</v>
      </c>
    </row>
    <row r="141" spans="1:2" ht="15.75">
      <c r="A141" s="15">
        <v>1979</v>
      </c>
      <c r="B141">
        <f t="shared" si="2"/>
        <v>65</v>
      </c>
    </row>
    <row r="142" spans="1:2" ht="15.75">
      <c r="A142" s="15">
        <v>1979</v>
      </c>
      <c r="B142">
        <f t="shared" si="2"/>
        <v>65</v>
      </c>
    </row>
    <row r="143" spans="1:2" ht="15.75">
      <c r="A143" s="15">
        <v>1979</v>
      </c>
      <c r="B143">
        <f t="shared" si="2"/>
        <v>65</v>
      </c>
    </row>
    <row r="144" spans="1:2" ht="15.75">
      <c r="A144" s="17">
        <v>1979</v>
      </c>
      <c r="B144">
        <f t="shared" si="2"/>
        <v>65</v>
      </c>
    </row>
    <row r="145" spans="1:2" ht="15.75">
      <c r="A145" s="17">
        <v>1979</v>
      </c>
      <c r="B145">
        <f t="shared" si="2"/>
        <v>65</v>
      </c>
    </row>
    <row r="146" spans="1:2" ht="15.75">
      <c r="A146" s="17">
        <v>1979</v>
      </c>
      <c r="B146">
        <f t="shared" si="2"/>
        <v>65</v>
      </c>
    </row>
    <row r="147" spans="1:2" ht="15.75">
      <c r="A147" s="15">
        <v>1979</v>
      </c>
      <c r="B147">
        <f t="shared" si="2"/>
        <v>65</v>
      </c>
    </row>
    <row r="148" spans="1:2" ht="15.75">
      <c r="A148" s="17">
        <v>1979</v>
      </c>
      <c r="B148">
        <f t="shared" si="2"/>
        <v>65</v>
      </c>
    </row>
    <row r="149" spans="1:2" ht="15.75">
      <c r="A149" s="15">
        <v>1979</v>
      </c>
      <c r="B149">
        <f t="shared" si="2"/>
        <v>65</v>
      </c>
    </row>
    <row r="150" spans="1:2" ht="15.75">
      <c r="A150" s="15">
        <v>1979</v>
      </c>
      <c r="B150">
        <f t="shared" si="2"/>
        <v>65</v>
      </c>
    </row>
    <row r="151" spans="1:2" ht="15.75">
      <c r="A151" s="15">
        <v>1979</v>
      </c>
      <c r="B151">
        <f t="shared" si="2"/>
        <v>65</v>
      </c>
    </row>
    <row r="152" spans="1:2" ht="15.75">
      <c r="A152" s="17">
        <v>1979</v>
      </c>
      <c r="B152">
        <f t="shared" si="2"/>
        <v>65</v>
      </c>
    </row>
    <row r="153" spans="1:2" ht="15.75">
      <c r="A153" s="12">
        <v>1980</v>
      </c>
      <c r="B153">
        <f t="shared" si="2"/>
        <v>64</v>
      </c>
    </row>
    <row r="154" spans="1:2" ht="15.75">
      <c r="A154" s="8">
        <v>1980</v>
      </c>
      <c r="B154">
        <f t="shared" si="2"/>
        <v>64</v>
      </c>
    </row>
    <row r="155" spans="1:2" ht="15.75">
      <c r="A155" s="12">
        <v>1980</v>
      </c>
      <c r="B155">
        <f t="shared" si="2"/>
        <v>64</v>
      </c>
    </row>
    <row r="156" spans="1:2" ht="15.75">
      <c r="A156" s="8">
        <v>1980</v>
      </c>
      <c r="B156">
        <f t="shared" si="2"/>
        <v>64</v>
      </c>
    </row>
    <row r="157" spans="1:2" ht="15.75">
      <c r="A157" s="19">
        <v>1991</v>
      </c>
      <c r="B157">
        <f t="shared" si="2"/>
        <v>53</v>
      </c>
    </row>
    <row r="158" spans="1:2" ht="15.75">
      <c r="A158" s="12">
        <v>1993</v>
      </c>
      <c r="B158">
        <f t="shared" si="2"/>
        <v>51</v>
      </c>
    </row>
    <row r="159" spans="1:2" ht="15.75">
      <c r="A159" s="8">
        <v>1993</v>
      </c>
      <c r="B159">
        <f t="shared" si="2"/>
        <v>51</v>
      </c>
    </row>
    <row r="160" spans="1:2" ht="15.75">
      <c r="A160" s="12">
        <v>1993</v>
      </c>
      <c r="B160">
        <f t="shared" si="2"/>
        <v>51</v>
      </c>
    </row>
    <row r="161" spans="1:2" ht="15.75">
      <c r="A161" s="8">
        <v>1993</v>
      </c>
      <c r="B161">
        <f t="shared" si="2"/>
        <v>51</v>
      </c>
    </row>
    <row r="162" spans="1:2" ht="15.75">
      <c r="A162" s="12">
        <v>1993</v>
      </c>
      <c r="B162">
        <f t="shared" si="2"/>
        <v>51</v>
      </c>
    </row>
    <row r="163" spans="1:2" ht="15.75">
      <c r="A163" s="8">
        <v>1993</v>
      </c>
      <c r="B163">
        <f t="shared" si="2"/>
        <v>51</v>
      </c>
    </row>
    <row r="164" spans="1:2" ht="15.75">
      <c r="A164" s="12">
        <v>1993</v>
      </c>
      <c r="B164">
        <f t="shared" si="2"/>
        <v>51</v>
      </c>
    </row>
    <row r="165" spans="1:2" ht="15.75">
      <c r="A165" s="8">
        <v>1994</v>
      </c>
      <c r="B165">
        <f t="shared" si="2"/>
        <v>50</v>
      </c>
    </row>
    <row r="166" spans="1:2" ht="15.75">
      <c r="A166" s="12">
        <v>1994</v>
      </c>
      <c r="B166">
        <f t="shared" si="2"/>
        <v>50</v>
      </c>
    </row>
    <row r="167" spans="1:2" ht="15.75">
      <c r="A167" s="8">
        <v>1994</v>
      </c>
      <c r="B167">
        <f t="shared" si="2"/>
        <v>50</v>
      </c>
    </row>
    <row r="168" spans="1:2" ht="15.75">
      <c r="A168" s="12">
        <v>1994</v>
      </c>
      <c r="B168">
        <f t="shared" si="2"/>
        <v>50</v>
      </c>
    </row>
    <row r="169" spans="1:2" ht="15.75">
      <c r="A169" s="8">
        <v>1994</v>
      </c>
      <c r="B169">
        <f t="shared" si="2"/>
        <v>50</v>
      </c>
    </row>
    <row r="170" spans="1:2" ht="15.75">
      <c r="A170" s="12">
        <v>1994</v>
      </c>
      <c r="B170">
        <f t="shared" si="2"/>
        <v>50</v>
      </c>
    </row>
    <row r="171" spans="1:2" ht="15.75">
      <c r="A171" s="8">
        <v>1994</v>
      </c>
      <c r="B171">
        <f t="shared" si="2"/>
        <v>50</v>
      </c>
    </row>
    <row r="172" spans="1:2" ht="15.75">
      <c r="A172" s="12">
        <v>1994</v>
      </c>
      <c r="B172">
        <f t="shared" si="2"/>
        <v>50</v>
      </c>
    </row>
    <row r="173" spans="1:2" ht="15.75">
      <c r="A173" s="8">
        <v>1994</v>
      </c>
      <c r="B173">
        <f t="shared" si="2"/>
        <v>50</v>
      </c>
    </row>
    <row r="174" spans="1:2" ht="15.75">
      <c r="A174" s="12">
        <v>1994</v>
      </c>
      <c r="B174">
        <f t="shared" si="2"/>
        <v>50</v>
      </c>
    </row>
    <row r="175" spans="1:2" ht="15.75">
      <c r="A175" s="8">
        <v>1994</v>
      </c>
      <c r="B175">
        <f t="shared" si="2"/>
        <v>50</v>
      </c>
    </row>
    <row r="176" spans="1:2" ht="15.75">
      <c r="A176" s="12">
        <v>1994</v>
      </c>
      <c r="B176">
        <f t="shared" si="2"/>
        <v>50</v>
      </c>
    </row>
    <row r="177" spans="1:2" ht="15.75">
      <c r="A177" s="8">
        <v>1994</v>
      </c>
      <c r="B177">
        <f t="shared" si="2"/>
        <v>50</v>
      </c>
    </row>
    <row r="178" spans="1:2" ht="15.75">
      <c r="A178" s="12">
        <v>1994</v>
      </c>
      <c r="B178">
        <f t="shared" si="2"/>
        <v>50</v>
      </c>
    </row>
    <row r="179" spans="1:2" ht="15.75">
      <c r="A179" s="8">
        <v>1994</v>
      </c>
      <c r="B179">
        <f t="shared" si="2"/>
        <v>50</v>
      </c>
    </row>
    <row r="180" spans="1:2" ht="15.75">
      <c r="A180" s="12">
        <v>1994</v>
      </c>
      <c r="B180">
        <f t="shared" si="2"/>
        <v>50</v>
      </c>
    </row>
    <row r="181" spans="1:2" ht="15.75">
      <c r="A181" s="8">
        <v>1994</v>
      </c>
      <c r="B181">
        <f t="shared" si="2"/>
        <v>50</v>
      </c>
    </row>
    <row r="182" spans="1:2" ht="15.75">
      <c r="A182" s="12">
        <v>1994</v>
      </c>
      <c r="B182">
        <f t="shared" si="2"/>
        <v>50</v>
      </c>
    </row>
    <row r="183" spans="1:2" ht="15.75">
      <c r="A183" s="8">
        <v>1994</v>
      </c>
      <c r="B183">
        <f t="shared" si="2"/>
        <v>50</v>
      </c>
    </row>
    <row r="184" spans="1:2" ht="15.75">
      <c r="A184" s="12">
        <v>1994</v>
      </c>
      <c r="B184">
        <f t="shared" si="2"/>
        <v>50</v>
      </c>
    </row>
    <row r="185" spans="1:2" ht="15.75">
      <c r="A185" s="8">
        <v>1994</v>
      </c>
      <c r="B185">
        <f t="shared" si="2"/>
        <v>50</v>
      </c>
    </row>
    <row r="186" spans="1:2" ht="15.75">
      <c r="A186" s="12">
        <v>1994</v>
      </c>
      <c r="B186">
        <f t="shared" si="2"/>
        <v>50</v>
      </c>
    </row>
    <row r="187" spans="1:2" ht="15.75">
      <c r="A187" s="8">
        <v>1994</v>
      </c>
      <c r="B187">
        <f t="shared" si="2"/>
        <v>50</v>
      </c>
    </row>
    <row r="188" spans="1:2" ht="15.75">
      <c r="A188" s="12">
        <v>1994</v>
      </c>
      <c r="B188">
        <f t="shared" si="2"/>
        <v>50</v>
      </c>
    </row>
    <row r="189" spans="1:2" ht="15.75">
      <c r="A189" s="8">
        <v>1994</v>
      </c>
      <c r="B189">
        <f t="shared" si="2"/>
        <v>50</v>
      </c>
    </row>
    <row r="190" spans="1:2" ht="15.75">
      <c r="A190" s="12">
        <v>1994</v>
      </c>
      <c r="B190">
        <f t="shared" si="2"/>
        <v>50</v>
      </c>
    </row>
    <row r="191" spans="1:2" ht="15.75">
      <c r="A191" s="8">
        <v>1994</v>
      </c>
      <c r="B191">
        <f t="shared" si="2"/>
        <v>50</v>
      </c>
    </row>
    <row r="192" spans="1:2" ht="15.75">
      <c r="A192" s="12">
        <v>1994</v>
      </c>
      <c r="B192">
        <f t="shared" si="2"/>
        <v>50</v>
      </c>
    </row>
    <row r="193" spans="1:2" ht="15.75">
      <c r="A193" s="8">
        <v>1994</v>
      </c>
      <c r="B193">
        <f t="shared" si="2"/>
        <v>50</v>
      </c>
    </row>
    <row r="194" spans="1:2" ht="15.75">
      <c r="A194" s="12">
        <v>1995</v>
      </c>
      <c r="B194">
        <f t="shared" si="2"/>
        <v>49</v>
      </c>
    </row>
    <row r="195" spans="1:2" ht="15.75">
      <c r="A195" s="8">
        <v>1995</v>
      </c>
      <c r="B195">
        <f t="shared" ref="B195:B258" si="3">2026-A195+18</f>
        <v>49</v>
      </c>
    </row>
    <row r="196" spans="1:2" ht="15.75">
      <c r="A196" s="12">
        <v>1995</v>
      </c>
      <c r="B196">
        <f t="shared" si="3"/>
        <v>49</v>
      </c>
    </row>
    <row r="197" spans="1:2" ht="15.75">
      <c r="A197" s="8">
        <v>1995</v>
      </c>
      <c r="B197">
        <f t="shared" si="3"/>
        <v>49</v>
      </c>
    </row>
    <row r="198" spans="1:2" ht="15.75">
      <c r="A198" s="12">
        <v>1995</v>
      </c>
      <c r="B198">
        <f t="shared" si="3"/>
        <v>49</v>
      </c>
    </row>
    <row r="199" spans="1:2" ht="15.75">
      <c r="A199" s="8">
        <v>1995</v>
      </c>
      <c r="B199">
        <f t="shared" si="3"/>
        <v>49</v>
      </c>
    </row>
    <row r="200" spans="1:2" ht="15.75">
      <c r="A200" s="12">
        <v>1995</v>
      </c>
      <c r="B200">
        <f t="shared" si="3"/>
        <v>49</v>
      </c>
    </row>
    <row r="201" spans="1:2" ht="15.75">
      <c r="A201" s="8">
        <v>1995</v>
      </c>
      <c r="B201">
        <f t="shared" si="3"/>
        <v>49</v>
      </c>
    </row>
    <row r="202" spans="1:2" ht="15.75">
      <c r="A202" s="12">
        <v>1995</v>
      </c>
      <c r="B202">
        <f t="shared" si="3"/>
        <v>49</v>
      </c>
    </row>
    <row r="203" spans="1:2" ht="15.75">
      <c r="A203" s="8">
        <v>1995</v>
      </c>
      <c r="B203">
        <f t="shared" si="3"/>
        <v>49</v>
      </c>
    </row>
    <row r="204" spans="1:2" ht="15.75">
      <c r="A204" s="12">
        <v>1995</v>
      </c>
      <c r="B204">
        <f t="shared" si="3"/>
        <v>49</v>
      </c>
    </row>
    <row r="205" spans="1:2" ht="15.75">
      <c r="A205" s="8">
        <v>1995</v>
      </c>
      <c r="B205">
        <f t="shared" si="3"/>
        <v>49</v>
      </c>
    </row>
    <row r="206" spans="1:2" ht="15.75">
      <c r="A206" s="12">
        <v>1995</v>
      </c>
      <c r="B206">
        <f t="shared" si="3"/>
        <v>49</v>
      </c>
    </row>
    <row r="207" spans="1:2" ht="15.75">
      <c r="A207" s="8">
        <v>1995</v>
      </c>
      <c r="B207">
        <f t="shared" si="3"/>
        <v>49</v>
      </c>
    </row>
    <row r="208" spans="1:2" ht="15.75">
      <c r="A208" s="12">
        <v>1995</v>
      </c>
      <c r="B208">
        <f t="shared" si="3"/>
        <v>49</v>
      </c>
    </row>
    <row r="209" spans="1:2" ht="15.75">
      <c r="A209" s="8">
        <v>1995</v>
      </c>
      <c r="B209">
        <f t="shared" si="3"/>
        <v>49</v>
      </c>
    </row>
    <row r="210" spans="1:2" ht="15.75">
      <c r="A210" s="12">
        <v>1995</v>
      </c>
      <c r="B210">
        <f t="shared" si="3"/>
        <v>49</v>
      </c>
    </row>
    <row r="211" spans="1:2" ht="15.75">
      <c r="A211" s="8">
        <v>1995</v>
      </c>
      <c r="B211">
        <f t="shared" si="3"/>
        <v>49</v>
      </c>
    </row>
    <row r="212" spans="1:2" ht="15.75">
      <c r="A212" s="12">
        <v>1995</v>
      </c>
      <c r="B212">
        <f t="shared" si="3"/>
        <v>49</v>
      </c>
    </row>
    <row r="213" spans="1:2" ht="15.75">
      <c r="A213" s="8">
        <v>1995</v>
      </c>
      <c r="B213">
        <f t="shared" si="3"/>
        <v>49</v>
      </c>
    </row>
    <row r="214" spans="1:2" ht="15.75">
      <c r="A214" s="12">
        <v>1995</v>
      </c>
      <c r="B214">
        <f t="shared" si="3"/>
        <v>49</v>
      </c>
    </row>
    <row r="215" spans="1:2" ht="15.75">
      <c r="A215" s="8">
        <v>1995</v>
      </c>
      <c r="B215">
        <f t="shared" si="3"/>
        <v>49</v>
      </c>
    </row>
    <row r="216" spans="1:2" ht="15.75">
      <c r="A216" s="12">
        <v>1995</v>
      </c>
      <c r="B216">
        <f t="shared" si="3"/>
        <v>49</v>
      </c>
    </row>
    <row r="217" spans="1:2" ht="15.75">
      <c r="A217" s="8">
        <v>1995</v>
      </c>
      <c r="B217">
        <f t="shared" si="3"/>
        <v>49</v>
      </c>
    </row>
    <row r="218" spans="1:2" ht="15.75">
      <c r="A218" s="12">
        <v>1995</v>
      </c>
      <c r="B218">
        <f t="shared" si="3"/>
        <v>49</v>
      </c>
    </row>
    <row r="219" spans="1:2" ht="15.75">
      <c r="A219" s="8">
        <v>1995</v>
      </c>
      <c r="B219">
        <f t="shared" si="3"/>
        <v>49</v>
      </c>
    </row>
    <row r="220" spans="1:2" ht="15.75">
      <c r="A220" s="12">
        <v>1996</v>
      </c>
      <c r="B220">
        <f t="shared" si="3"/>
        <v>48</v>
      </c>
    </row>
    <row r="221" spans="1:2" ht="15.75">
      <c r="A221" s="8">
        <v>1996</v>
      </c>
      <c r="B221">
        <f t="shared" si="3"/>
        <v>48</v>
      </c>
    </row>
    <row r="222" spans="1:2" ht="15.75">
      <c r="A222" s="12">
        <v>1996</v>
      </c>
      <c r="B222">
        <f t="shared" si="3"/>
        <v>48</v>
      </c>
    </row>
    <row r="223" spans="1:2" ht="15.75">
      <c r="A223" s="8">
        <v>1996</v>
      </c>
      <c r="B223">
        <f t="shared" si="3"/>
        <v>48</v>
      </c>
    </row>
    <row r="224" spans="1:2" ht="15.75">
      <c r="A224" s="12">
        <v>1996</v>
      </c>
      <c r="B224">
        <f t="shared" si="3"/>
        <v>48</v>
      </c>
    </row>
    <row r="225" spans="1:2" ht="15.75">
      <c r="A225" s="8">
        <v>1996</v>
      </c>
      <c r="B225">
        <f t="shared" si="3"/>
        <v>48</v>
      </c>
    </row>
    <row r="226" spans="1:2" ht="15.75">
      <c r="A226" s="12">
        <v>1996</v>
      </c>
      <c r="B226">
        <f t="shared" si="3"/>
        <v>48</v>
      </c>
    </row>
    <row r="227" spans="1:2" ht="15.75">
      <c r="A227" s="8">
        <v>1996</v>
      </c>
      <c r="B227">
        <f t="shared" si="3"/>
        <v>48</v>
      </c>
    </row>
    <row r="228" spans="1:2" ht="15.75">
      <c r="A228" s="12">
        <v>1996</v>
      </c>
      <c r="B228">
        <f t="shared" si="3"/>
        <v>48</v>
      </c>
    </row>
    <row r="229" spans="1:2" ht="15.75">
      <c r="A229" s="8">
        <v>1996</v>
      </c>
      <c r="B229">
        <f t="shared" si="3"/>
        <v>48</v>
      </c>
    </row>
    <row r="230" spans="1:2" ht="15.75">
      <c r="A230" s="12">
        <v>1996</v>
      </c>
      <c r="B230">
        <f t="shared" si="3"/>
        <v>48</v>
      </c>
    </row>
    <row r="231" spans="1:2" ht="15.75">
      <c r="A231" s="8">
        <v>1996</v>
      </c>
      <c r="B231">
        <f t="shared" si="3"/>
        <v>48</v>
      </c>
    </row>
    <row r="232" spans="1:2" ht="15.75">
      <c r="A232" s="12">
        <v>1996</v>
      </c>
      <c r="B232">
        <f t="shared" si="3"/>
        <v>48</v>
      </c>
    </row>
    <row r="233" spans="1:2" ht="15.75">
      <c r="A233" s="8">
        <v>1996</v>
      </c>
      <c r="B233">
        <f t="shared" si="3"/>
        <v>48</v>
      </c>
    </row>
    <row r="234" spans="1:2" ht="15.75">
      <c r="A234" s="12">
        <v>1996</v>
      </c>
      <c r="B234">
        <f t="shared" si="3"/>
        <v>48</v>
      </c>
    </row>
    <row r="235" spans="1:2" ht="15.75">
      <c r="A235" s="8">
        <v>1996</v>
      </c>
      <c r="B235">
        <f t="shared" si="3"/>
        <v>48</v>
      </c>
    </row>
    <row r="236" spans="1:2" ht="15.75">
      <c r="A236" s="12">
        <v>1996</v>
      </c>
      <c r="B236">
        <f t="shared" si="3"/>
        <v>48</v>
      </c>
    </row>
    <row r="237" spans="1:2" ht="15.75">
      <c r="A237" s="8">
        <v>1996</v>
      </c>
      <c r="B237">
        <f t="shared" si="3"/>
        <v>48</v>
      </c>
    </row>
    <row r="238" spans="1:2" ht="15.75">
      <c r="A238" s="12">
        <v>1996</v>
      </c>
      <c r="B238">
        <f t="shared" si="3"/>
        <v>48</v>
      </c>
    </row>
    <row r="239" spans="1:2" ht="15.75">
      <c r="A239" s="8">
        <v>1996</v>
      </c>
      <c r="B239">
        <f t="shared" si="3"/>
        <v>48</v>
      </c>
    </row>
    <row r="240" spans="1:2" ht="15.75">
      <c r="A240" s="12">
        <v>1996</v>
      </c>
      <c r="B240">
        <f t="shared" si="3"/>
        <v>48</v>
      </c>
    </row>
    <row r="241" spans="1:2" ht="15.75">
      <c r="A241" s="8">
        <v>1996</v>
      </c>
      <c r="B241">
        <f t="shared" si="3"/>
        <v>48</v>
      </c>
    </row>
    <row r="242" spans="1:2" ht="15.75">
      <c r="A242" s="12">
        <v>1996</v>
      </c>
      <c r="B242">
        <f t="shared" si="3"/>
        <v>48</v>
      </c>
    </row>
    <row r="243" spans="1:2" ht="15.75">
      <c r="A243" s="8">
        <v>1996</v>
      </c>
      <c r="B243">
        <f t="shared" si="3"/>
        <v>48</v>
      </c>
    </row>
    <row r="244" spans="1:2" ht="15.75">
      <c r="A244" s="12">
        <v>1996</v>
      </c>
      <c r="B244">
        <f t="shared" si="3"/>
        <v>48</v>
      </c>
    </row>
    <row r="245" spans="1:2" ht="15.75">
      <c r="A245" s="8">
        <v>1996</v>
      </c>
      <c r="B245">
        <f t="shared" si="3"/>
        <v>48</v>
      </c>
    </row>
    <row r="246" spans="1:2" ht="15.75">
      <c r="A246" s="12">
        <v>1996</v>
      </c>
      <c r="B246">
        <f t="shared" si="3"/>
        <v>48</v>
      </c>
    </row>
    <row r="247" spans="1:2" ht="15.75">
      <c r="A247" s="8">
        <v>1997</v>
      </c>
      <c r="B247">
        <f t="shared" si="3"/>
        <v>47</v>
      </c>
    </row>
    <row r="248" spans="1:2" ht="15.75">
      <c r="A248" s="12">
        <v>1997</v>
      </c>
      <c r="B248">
        <f t="shared" si="3"/>
        <v>47</v>
      </c>
    </row>
    <row r="249" spans="1:2" ht="15.75">
      <c r="A249" s="8">
        <v>1997</v>
      </c>
      <c r="B249">
        <f t="shared" si="3"/>
        <v>47</v>
      </c>
    </row>
    <row r="250" spans="1:2" ht="15.75">
      <c r="A250" s="12">
        <v>1997</v>
      </c>
      <c r="B250">
        <f t="shared" si="3"/>
        <v>47</v>
      </c>
    </row>
    <row r="251" spans="1:2" ht="15.75">
      <c r="A251" s="8">
        <v>1997</v>
      </c>
      <c r="B251">
        <f t="shared" si="3"/>
        <v>47</v>
      </c>
    </row>
    <row r="252" spans="1:2" ht="15.75">
      <c r="A252" s="12">
        <v>1997</v>
      </c>
      <c r="B252">
        <f t="shared" si="3"/>
        <v>47</v>
      </c>
    </row>
    <row r="253" spans="1:2" ht="15.75">
      <c r="A253" s="8">
        <v>1997</v>
      </c>
      <c r="B253">
        <f t="shared" si="3"/>
        <v>47</v>
      </c>
    </row>
    <row r="254" spans="1:2" ht="15.75">
      <c r="A254" s="12">
        <v>1997</v>
      </c>
      <c r="B254">
        <f t="shared" si="3"/>
        <v>47</v>
      </c>
    </row>
    <row r="255" spans="1:2" ht="15.75">
      <c r="A255" s="8">
        <v>1997</v>
      </c>
      <c r="B255">
        <f t="shared" si="3"/>
        <v>47</v>
      </c>
    </row>
    <row r="256" spans="1:2" ht="15.75">
      <c r="A256" s="12">
        <v>1997</v>
      </c>
      <c r="B256">
        <f t="shared" si="3"/>
        <v>47</v>
      </c>
    </row>
    <row r="257" spans="1:2" ht="15.75">
      <c r="A257" s="8">
        <v>1997</v>
      </c>
      <c r="B257">
        <f t="shared" si="3"/>
        <v>47</v>
      </c>
    </row>
    <row r="258" spans="1:2" ht="15.75">
      <c r="A258" s="12">
        <v>1997</v>
      </c>
      <c r="B258">
        <f t="shared" si="3"/>
        <v>47</v>
      </c>
    </row>
    <row r="259" spans="1:2" ht="15.75">
      <c r="A259" s="8">
        <v>1997</v>
      </c>
      <c r="B259">
        <f t="shared" ref="B259:B322" si="4">2026-A259+18</f>
        <v>47</v>
      </c>
    </row>
    <row r="260" spans="1:2" ht="15.75">
      <c r="A260" s="12">
        <v>1997</v>
      </c>
      <c r="B260">
        <f t="shared" si="4"/>
        <v>47</v>
      </c>
    </row>
    <row r="261" spans="1:2" ht="15.75">
      <c r="A261" s="8">
        <v>1997</v>
      </c>
      <c r="B261">
        <f t="shared" si="4"/>
        <v>47</v>
      </c>
    </row>
    <row r="262" spans="1:2" ht="15.75">
      <c r="A262" s="8">
        <v>2020</v>
      </c>
      <c r="B262">
        <f t="shared" si="4"/>
        <v>24</v>
      </c>
    </row>
    <row r="263" spans="1:2" ht="15.75">
      <c r="A263" s="12">
        <v>2020</v>
      </c>
      <c r="B263">
        <f t="shared" si="4"/>
        <v>24</v>
      </c>
    </row>
    <row r="264" spans="1:2" ht="15.75">
      <c r="A264" s="8">
        <v>2020</v>
      </c>
      <c r="B264">
        <f t="shared" si="4"/>
        <v>24</v>
      </c>
    </row>
    <row r="265" spans="1:2" ht="15.75">
      <c r="A265" s="12">
        <v>2020</v>
      </c>
      <c r="B265">
        <f t="shared" si="4"/>
        <v>24</v>
      </c>
    </row>
    <row r="266" spans="1:2" ht="15.75">
      <c r="A266" s="8">
        <v>2020</v>
      </c>
      <c r="B266">
        <f t="shared" si="4"/>
        <v>24</v>
      </c>
    </row>
    <row r="267" spans="1:2" ht="15.75">
      <c r="A267" s="17">
        <v>2020</v>
      </c>
      <c r="B267">
        <f t="shared" si="4"/>
        <v>24</v>
      </c>
    </row>
    <row r="268" spans="1:2" ht="15.75">
      <c r="A268" s="17">
        <v>2020</v>
      </c>
      <c r="B268">
        <f t="shared" si="4"/>
        <v>24</v>
      </c>
    </row>
    <row r="269" spans="1:2" ht="15.75">
      <c r="A269" s="17">
        <v>2020</v>
      </c>
      <c r="B269">
        <f t="shared" si="4"/>
        <v>24</v>
      </c>
    </row>
    <row r="270" spans="1:2" ht="15.75">
      <c r="A270" s="15">
        <v>2020</v>
      </c>
      <c r="B270">
        <f t="shared" si="4"/>
        <v>24</v>
      </c>
    </row>
    <row r="271" spans="1:2" ht="15.75">
      <c r="A271" s="17">
        <v>2020</v>
      </c>
      <c r="B271">
        <f t="shared" si="4"/>
        <v>24</v>
      </c>
    </row>
    <row r="272" spans="1:2" ht="15.75">
      <c r="A272" s="12">
        <v>2021</v>
      </c>
      <c r="B272">
        <f t="shared" si="4"/>
        <v>23</v>
      </c>
    </row>
    <row r="273" spans="1:2" ht="15.75">
      <c r="A273" s="8">
        <v>2021</v>
      </c>
      <c r="B273">
        <f t="shared" si="4"/>
        <v>23</v>
      </c>
    </row>
    <row r="274" spans="1:2" ht="15.75">
      <c r="A274" s="12">
        <v>2021</v>
      </c>
      <c r="B274">
        <f t="shared" si="4"/>
        <v>23</v>
      </c>
    </row>
    <row r="275" spans="1:2" ht="15.75">
      <c r="A275" s="8">
        <v>2021</v>
      </c>
      <c r="B275">
        <f t="shared" si="4"/>
        <v>23</v>
      </c>
    </row>
    <row r="276" spans="1:2" ht="15.75">
      <c r="A276" s="12">
        <v>2021</v>
      </c>
      <c r="B276">
        <f t="shared" si="4"/>
        <v>23</v>
      </c>
    </row>
    <row r="277" spans="1:2" ht="15.75">
      <c r="A277" s="8">
        <v>2021</v>
      </c>
      <c r="B277">
        <f t="shared" si="4"/>
        <v>23</v>
      </c>
    </row>
    <row r="278" spans="1:2" ht="15.75">
      <c r="A278" s="12">
        <v>2021</v>
      </c>
      <c r="B278">
        <f t="shared" si="4"/>
        <v>23</v>
      </c>
    </row>
    <row r="279" spans="1:2" ht="15.75">
      <c r="A279" s="8">
        <v>2021</v>
      </c>
      <c r="B279">
        <f t="shared" si="4"/>
        <v>23</v>
      </c>
    </row>
    <row r="280" spans="1:2" ht="15.75">
      <c r="A280" s="12">
        <v>2021</v>
      </c>
      <c r="B280">
        <f t="shared" si="4"/>
        <v>23</v>
      </c>
    </row>
    <row r="281" spans="1:2" ht="15.75">
      <c r="A281" s="8">
        <v>2021</v>
      </c>
      <c r="B281">
        <f t="shared" si="4"/>
        <v>23</v>
      </c>
    </row>
    <row r="282" spans="1:2" ht="15.75">
      <c r="A282" s="12">
        <v>2021</v>
      </c>
      <c r="B282">
        <f t="shared" si="4"/>
        <v>23</v>
      </c>
    </row>
    <row r="283" spans="1:2" ht="15.75">
      <c r="A283" s="8">
        <v>2021</v>
      </c>
      <c r="B283">
        <f t="shared" si="4"/>
        <v>23</v>
      </c>
    </row>
    <row r="284" spans="1:2" ht="15.75">
      <c r="A284" s="15">
        <v>2021</v>
      </c>
      <c r="B284">
        <f t="shared" si="4"/>
        <v>23</v>
      </c>
    </row>
    <row r="285" spans="1:2" ht="15.75">
      <c r="A285" s="17">
        <v>2021</v>
      </c>
      <c r="B285">
        <f t="shared" si="4"/>
        <v>23</v>
      </c>
    </row>
    <row r="286" spans="1:2" ht="15.75">
      <c r="A286" s="17">
        <v>2021</v>
      </c>
      <c r="B286">
        <f t="shared" si="4"/>
        <v>23</v>
      </c>
    </row>
    <row r="287" spans="1:2" ht="15.75">
      <c r="A287" s="15">
        <v>2021</v>
      </c>
      <c r="B287">
        <f t="shared" si="4"/>
        <v>23</v>
      </c>
    </row>
    <row r="288" spans="1:2" ht="15.75">
      <c r="A288" s="17">
        <v>2021</v>
      </c>
      <c r="B288">
        <f t="shared" si="4"/>
        <v>23</v>
      </c>
    </row>
    <row r="289" spans="1:2" ht="15.75">
      <c r="A289" s="12">
        <v>2022</v>
      </c>
      <c r="B289">
        <f t="shared" si="4"/>
        <v>22</v>
      </c>
    </row>
    <row r="290" spans="1:2" ht="15.75">
      <c r="A290" s="8">
        <v>2022</v>
      </c>
      <c r="B290">
        <f t="shared" si="4"/>
        <v>22</v>
      </c>
    </row>
    <row r="291" spans="1:2" ht="15.75">
      <c r="A291" s="12">
        <v>2022</v>
      </c>
      <c r="B291">
        <f t="shared" si="4"/>
        <v>22</v>
      </c>
    </row>
    <row r="292" spans="1:2" ht="15.75">
      <c r="A292" s="8">
        <v>2022</v>
      </c>
      <c r="B292">
        <f t="shared" si="4"/>
        <v>22</v>
      </c>
    </row>
    <row r="293" spans="1:2" ht="15.75">
      <c r="A293" s="12">
        <v>2022</v>
      </c>
      <c r="B293">
        <f t="shared" si="4"/>
        <v>22</v>
      </c>
    </row>
    <row r="294" spans="1:2" ht="15.75">
      <c r="A294" s="8">
        <v>2022</v>
      </c>
      <c r="B294">
        <f t="shared" si="4"/>
        <v>22</v>
      </c>
    </row>
    <row r="295" spans="1:2" ht="15.75">
      <c r="A295" s="12">
        <v>2022</v>
      </c>
      <c r="B295">
        <f t="shared" si="4"/>
        <v>22</v>
      </c>
    </row>
    <row r="296" spans="1:2" ht="15.75">
      <c r="A296" s="8">
        <v>2022</v>
      </c>
      <c r="B296">
        <f t="shared" si="4"/>
        <v>22</v>
      </c>
    </row>
    <row r="297" spans="1:2" ht="15.75">
      <c r="A297" s="12">
        <v>2022</v>
      </c>
      <c r="B297">
        <f t="shared" si="4"/>
        <v>22</v>
      </c>
    </row>
    <row r="298" spans="1:2" ht="15.75">
      <c r="A298" s="8">
        <v>2022</v>
      </c>
      <c r="B298">
        <f t="shared" si="4"/>
        <v>22</v>
      </c>
    </row>
    <row r="299" spans="1:2" ht="15.75">
      <c r="A299" s="12">
        <v>2022</v>
      </c>
      <c r="B299">
        <f t="shared" si="4"/>
        <v>22</v>
      </c>
    </row>
    <row r="300" spans="1:2" ht="15.75">
      <c r="A300" s="8">
        <v>2022</v>
      </c>
      <c r="B300">
        <f t="shared" si="4"/>
        <v>22</v>
      </c>
    </row>
    <row r="301" spans="1:2" ht="15.75">
      <c r="A301" s="12">
        <v>2022</v>
      </c>
      <c r="B301">
        <f t="shared" si="4"/>
        <v>22</v>
      </c>
    </row>
    <row r="302" spans="1:2" ht="15.75">
      <c r="A302" s="15">
        <v>2022</v>
      </c>
      <c r="B302">
        <f t="shared" si="4"/>
        <v>22</v>
      </c>
    </row>
    <row r="303" spans="1:2" ht="15.75">
      <c r="A303" s="17">
        <v>2022</v>
      </c>
      <c r="B303">
        <f t="shared" si="4"/>
        <v>22</v>
      </c>
    </row>
    <row r="304" spans="1:2" ht="15.75">
      <c r="A304" s="15">
        <v>2022</v>
      </c>
      <c r="B304">
        <f t="shared" si="4"/>
        <v>22</v>
      </c>
    </row>
    <row r="305" spans="1:2" ht="15.75">
      <c r="A305" s="8">
        <v>2023</v>
      </c>
      <c r="B305">
        <f t="shared" si="4"/>
        <v>21</v>
      </c>
    </row>
    <row r="306" spans="1:2" ht="15.75">
      <c r="A306" s="12">
        <v>2023</v>
      </c>
      <c r="B306">
        <f t="shared" si="4"/>
        <v>21</v>
      </c>
    </row>
    <row r="307" spans="1:2" ht="15.75">
      <c r="A307" s="8">
        <v>2023</v>
      </c>
      <c r="B307">
        <f t="shared" si="4"/>
        <v>21</v>
      </c>
    </row>
    <row r="308" spans="1:2" ht="15.75">
      <c r="A308" s="12">
        <v>2023</v>
      </c>
      <c r="B308">
        <f t="shared" si="4"/>
        <v>21</v>
      </c>
    </row>
    <row r="309" spans="1:2" ht="15.75">
      <c r="A309" s="8">
        <v>2023</v>
      </c>
      <c r="B309">
        <f t="shared" si="4"/>
        <v>21</v>
      </c>
    </row>
    <row r="310" spans="1:2" ht="15.75">
      <c r="A310" s="12">
        <v>2023</v>
      </c>
      <c r="B310">
        <f t="shared" si="4"/>
        <v>21</v>
      </c>
    </row>
    <row r="311" spans="1:2" ht="15.75">
      <c r="A311" s="8">
        <v>2023</v>
      </c>
      <c r="B311">
        <f t="shared" si="4"/>
        <v>21</v>
      </c>
    </row>
    <row r="312" spans="1:2" ht="15.75">
      <c r="A312" s="12">
        <v>2023</v>
      </c>
      <c r="B312">
        <f t="shared" si="4"/>
        <v>21</v>
      </c>
    </row>
    <row r="313" spans="1:2" ht="15.75">
      <c r="A313" s="8">
        <v>2023</v>
      </c>
      <c r="B313">
        <f t="shared" si="4"/>
        <v>21</v>
      </c>
    </row>
    <row r="314" spans="1:2" ht="15.75">
      <c r="A314" s="12">
        <v>2023</v>
      </c>
      <c r="B314">
        <f t="shared" si="4"/>
        <v>21</v>
      </c>
    </row>
    <row r="315" spans="1:2" ht="15.75">
      <c r="A315" s="8">
        <v>2023</v>
      </c>
      <c r="B315">
        <f t="shared" si="4"/>
        <v>21</v>
      </c>
    </row>
    <row r="316" spans="1:2" ht="15.75">
      <c r="A316" s="12">
        <v>2023</v>
      </c>
      <c r="B316">
        <f t="shared" si="4"/>
        <v>21</v>
      </c>
    </row>
    <row r="317" spans="1:2" ht="15.75">
      <c r="A317" s="8">
        <v>2023</v>
      </c>
      <c r="B317">
        <f t="shared" si="4"/>
        <v>21</v>
      </c>
    </row>
    <row r="318" spans="1:2" ht="15.75">
      <c r="A318" s="12">
        <v>2023</v>
      </c>
      <c r="B318">
        <f t="shared" si="4"/>
        <v>21</v>
      </c>
    </row>
    <row r="319" spans="1:2" ht="15.75">
      <c r="A319" s="8">
        <v>2023</v>
      </c>
      <c r="B319">
        <f t="shared" si="4"/>
        <v>21</v>
      </c>
    </row>
    <row r="320" spans="1:2" ht="15.75">
      <c r="A320" s="12">
        <v>2023</v>
      </c>
      <c r="B320">
        <f t="shared" si="4"/>
        <v>21</v>
      </c>
    </row>
    <row r="321" spans="1:2" ht="15.75">
      <c r="A321" s="8">
        <v>2023</v>
      </c>
      <c r="B321">
        <f t="shared" si="4"/>
        <v>21</v>
      </c>
    </row>
    <row r="322" spans="1:2" ht="15.75">
      <c r="A322" s="12">
        <v>2023</v>
      </c>
      <c r="B322">
        <f t="shared" si="4"/>
        <v>21</v>
      </c>
    </row>
    <row r="323" spans="1:2" ht="15.75">
      <c r="A323" s="8">
        <v>2023</v>
      </c>
      <c r="B323">
        <f t="shared" ref="B323:B386" si="5">2026-A323+18</f>
        <v>21</v>
      </c>
    </row>
    <row r="324" spans="1:2" ht="15.75">
      <c r="A324" s="12">
        <v>2023</v>
      </c>
      <c r="B324">
        <f t="shared" si="5"/>
        <v>21</v>
      </c>
    </row>
    <row r="325" spans="1:2" ht="15.75">
      <c r="A325" s="8">
        <v>2023</v>
      </c>
      <c r="B325">
        <f t="shared" si="5"/>
        <v>21</v>
      </c>
    </row>
    <row r="326" spans="1:2" ht="15.75">
      <c r="A326" s="12">
        <v>2023</v>
      </c>
      <c r="B326">
        <f t="shared" si="5"/>
        <v>21</v>
      </c>
    </row>
    <row r="327" spans="1:2" ht="15.75">
      <c r="A327" s="15">
        <v>2023</v>
      </c>
      <c r="B327">
        <f t="shared" si="5"/>
        <v>21</v>
      </c>
    </row>
    <row r="328" spans="1:2" ht="15.75">
      <c r="A328" s="17">
        <v>2023</v>
      </c>
      <c r="B328">
        <f t="shared" si="5"/>
        <v>21</v>
      </c>
    </row>
    <row r="329" spans="1:2" ht="15.75">
      <c r="A329" s="15">
        <v>2023</v>
      </c>
      <c r="B329">
        <f t="shared" si="5"/>
        <v>21</v>
      </c>
    </row>
    <row r="330" spans="1:2" ht="15.75">
      <c r="A330" s="8">
        <v>2024</v>
      </c>
      <c r="B330">
        <f t="shared" si="5"/>
        <v>20</v>
      </c>
    </row>
    <row r="331" spans="1:2" ht="15.75">
      <c r="A331" s="12">
        <v>2024</v>
      </c>
      <c r="B331">
        <f t="shared" si="5"/>
        <v>20</v>
      </c>
    </row>
    <row r="332" spans="1:2" ht="15.75">
      <c r="A332" s="8">
        <v>2024</v>
      </c>
      <c r="B332">
        <f t="shared" si="5"/>
        <v>20</v>
      </c>
    </row>
    <row r="333" spans="1:2" ht="15.75">
      <c r="A333" s="12">
        <v>2024</v>
      </c>
      <c r="B333">
        <f t="shared" si="5"/>
        <v>20</v>
      </c>
    </row>
    <row r="334" spans="1:2" ht="15.75">
      <c r="A334" s="8">
        <v>2024</v>
      </c>
      <c r="B334">
        <f t="shared" si="5"/>
        <v>20</v>
      </c>
    </row>
    <row r="335" spans="1:2" ht="15.75">
      <c r="A335" s="12">
        <v>2024</v>
      </c>
      <c r="B335">
        <f t="shared" si="5"/>
        <v>20</v>
      </c>
    </row>
    <row r="336" spans="1:2" ht="15.75">
      <c r="A336" s="8">
        <v>2024</v>
      </c>
      <c r="B336">
        <f t="shared" si="5"/>
        <v>20</v>
      </c>
    </row>
    <row r="337" spans="1:2" ht="15.75">
      <c r="A337" s="12">
        <v>2024</v>
      </c>
      <c r="B337">
        <f t="shared" si="5"/>
        <v>20</v>
      </c>
    </row>
    <row r="338" spans="1:2" ht="15.75">
      <c r="A338" s="8">
        <v>2024</v>
      </c>
      <c r="B338">
        <f t="shared" si="5"/>
        <v>20</v>
      </c>
    </row>
    <row r="339" spans="1:2" ht="15.75">
      <c r="A339" s="12">
        <v>2024</v>
      </c>
      <c r="B339">
        <f t="shared" si="5"/>
        <v>20</v>
      </c>
    </row>
    <row r="340" spans="1:2" ht="15.75">
      <c r="A340" s="8">
        <v>2024</v>
      </c>
      <c r="B340">
        <f t="shared" si="5"/>
        <v>20</v>
      </c>
    </row>
    <row r="341" spans="1:2" ht="15.75">
      <c r="A341" s="12">
        <v>2024</v>
      </c>
      <c r="B341">
        <f t="shared" si="5"/>
        <v>20</v>
      </c>
    </row>
    <row r="342" spans="1:2" ht="15.75">
      <c r="A342" s="8">
        <v>2024</v>
      </c>
      <c r="B342">
        <f t="shared" si="5"/>
        <v>20</v>
      </c>
    </row>
    <row r="343" spans="1:2" ht="15.75">
      <c r="A343" s="12">
        <v>2024</v>
      </c>
      <c r="B343">
        <f t="shared" si="5"/>
        <v>20</v>
      </c>
    </row>
    <row r="344" spans="1:2" ht="15.75">
      <c r="A344" s="8">
        <v>2024</v>
      </c>
      <c r="B344">
        <f t="shared" si="5"/>
        <v>20</v>
      </c>
    </row>
    <row r="345" spans="1:2" ht="15.75">
      <c r="A345" s="12">
        <v>2024</v>
      </c>
      <c r="B345">
        <f t="shared" si="5"/>
        <v>20</v>
      </c>
    </row>
    <row r="346" spans="1:2" ht="15.75">
      <c r="A346" s="8">
        <v>2024</v>
      </c>
      <c r="B346">
        <f t="shared" si="5"/>
        <v>20</v>
      </c>
    </row>
    <row r="347" spans="1:2" ht="15.75">
      <c r="A347" s="12">
        <v>2024</v>
      </c>
      <c r="B347">
        <f t="shared" si="5"/>
        <v>20</v>
      </c>
    </row>
    <row r="348" spans="1:2" ht="15.75">
      <c r="A348" s="8">
        <v>2024</v>
      </c>
      <c r="B348">
        <f t="shared" si="5"/>
        <v>20</v>
      </c>
    </row>
    <row r="349" spans="1:2" ht="15.75">
      <c r="A349" s="12">
        <v>2024</v>
      </c>
      <c r="B349">
        <f t="shared" si="5"/>
        <v>20</v>
      </c>
    </row>
    <row r="350" spans="1:2" ht="15.75">
      <c r="A350" s="8">
        <v>2024</v>
      </c>
      <c r="B350">
        <f t="shared" si="5"/>
        <v>20</v>
      </c>
    </row>
    <row r="351" spans="1:2" ht="15.75">
      <c r="A351" s="12">
        <v>2024</v>
      </c>
      <c r="B351">
        <f t="shared" si="5"/>
        <v>20</v>
      </c>
    </row>
    <row r="352" spans="1:2" ht="15.75">
      <c r="A352" s="8">
        <v>2024</v>
      </c>
      <c r="B352">
        <f t="shared" si="5"/>
        <v>20</v>
      </c>
    </row>
    <row r="353" spans="1:2" ht="15.75">
      <c r="A353" s="12">
        <v>2024</v>
      </c>
      <c r="B353">
        <f t="shared" si="5"/>
        <v>20</v>
      </c>
    </row>
    <row r="354" spans="1:2" ht="15.75">
      <c r="A354" s="8">
        <v>2024</v>
      </c>
      <c r="B354">
        <f t="shared" si="5"/>
        <v>20</v>
      </c>
    </row>
    <row r="355" spans="1:2" ht="15.75">
      <c r="A355" s="12">
        <v>2024</v>
      </c>
      <c r="B355">
        <f t="shared" si="5"/>
        <v>20</v>
      </c>
    </row>
    <row r="356" spans="1:2" ht="15.75">
      <c r="A356" s="8">
        <v>2024</v>
      </c>
      <c r="B356">
        <f t="shared" si="5"/>
        <v>20</v>
      </c>
    </row>
    <row r="357" spans="1:2" ht="15.75">
      <c r="A357" s="12">
        <v>2024</v>
      </c>
      <c r="B357">
        <f t="shared" si="5"/>
        <v>20</v>
      </c>
    </row>
    <row r="358" spans="1:2" ht="15.75">
      <c r="A358" s="8">
        <v>2024</v>
      </c>
      <c r="B358">
        <f t="shared" si="5"/>
        <v>20</v>
      </c>
    </row>
    <row r="359" spans="1:2" ht="15.75">
      <c r="A359" s="12">
        <v>2024</v>
      </c>
      <c r="B359">
        <f t="shared" si="5"/>
        <v>20</v>
      </c>
    </row>
    <row r="360" spans="1:2" ht="15.75">
      <c r="A360" s="8">
        <v>2024</v>
      </c>
      <c r="B360">
        <f t="shared" si="5"/>
        <v>20</v>
      </c>
    </row>
    <row r="361" spans="1:2" ht="15.75">
      <c r="A361" s="12">
        <v>2024</v>
      </c>
      <c r="B361">
        <f t="shared" si="5"/>
        <v>20</v>
      </c>
    </row>
    <row r="362" spans="1:2" ht="15.75">
      <c r="A362" s="8">
        <v>2024</v>
      </c>
      <c r="B362">
        <f t="shared" si="5"/>
        <v>20</v>
      </c>
    </row>
    <row r="363" spans="1:2" ht="15.75">
      <c r="A363" s="12">
        <v>2024</v>
      </c>
      <c r="B363">
        <f t="shared" si="5"/>
        <v>20</v>
      </c>
    </row>
    <row r="364" spans="1:2" ht="15.75">
      <c r="A364" s="8">
        <v>2024</v>
      </c>
      <c r="B364">
        <f t="shared" si="5"/>
        <v>20</v>
      </c>
    </row>
    <row r="365" spans="1:2" ht="15.75">
      <c r="A365" s="12">
        <v>2024</v>
      </c>
      <c r="B365">
        <f t="shared" si="5"/>
        <v>20</v>
      </c>
    </row>
    <row r="366" spans="1:2" ht="15.75">
      <c r="A366" s="8">
        <v>2024</v>
      </c>
      <c r="B366">
        <f t="shared" si="5"/>
        <v>20</v>
      </c>
    </row>
    <row r="367" spans="1:2" ht="15.75">
      <c r="A367" s="12">
        <v>2024</v>
      </c>
      <c r="B367">
        <f t="shared" si="5"/>
        <v>20</v>
      </c>
    </row>
    <row r="368" spans="1:2" ht="15.75">
      <c r="A368" s="8">
        <v>2024</v>
      </c>
      <c r="B368">
        <f t="shared" si="5"/>
        <v>20</v>
      </c>
    </row>
    <row r="369" spans="1:2" ht="15.75">
      <c r="A369" s="12">
        <v>2024</v>
      </c>
      <c r="B369">
        <f t="shared" si="5"/>
        <v>20</v>
      </c>
    </row>
    <row r="370" spans="1:2" ht="15.75">
      <c r="A370" s="8">
        <v>2024</v>
      </c>
      <c r="B370">
        <f t="shared" si="5"/>
        <v>20</v>
      </c>
    </row>
    <row r="371" spans="1:2" ht="15.75">
      <c r="A371" s="12">
        <v>2024</v>
      </c>
      <c r="B371">
        <f t="shared" si="5"/>
        <v>20</v>
      </c>
    </row>
    <row r="372" spans="1:2" ht="15.75">
      <c r="A372" s="8">
        <v>2024</v>
      </c>
      <c r="B372">
        <f t="shared" si="5"/>
        <v>20</v>
      </c>
    </row>
    <row r="373" spans="1:2" ht="15.75">
      <c r="A373" s="12">
        <v>2024</v>
      </c>
      <c r="B373">
        <f t="shared" si="5"/>
        <v>20</v>
      </c>
    </row>
    <row r="374" spans="1:2" ht="15.75">
      <c r="A374" s="8">
        <v>2024</v>
      </c>
      <c r="B374">
        <f t="shared" si="5"/>
        <v>20</v>
      </c>
    </row>
    <row r="375" spans="1:2" ht="15.75">
      <c r="A375" s="12">
        <v>2024</v>
      </c>
      <c r="B375">
        <f t="shared" si="5"/>
        <v>20</v>
      </c>
    </row>
    <row r="376" spans="1:2" ht="15.75">
      <c r="A376" s="8">
        <v>2024</v>
      </c>
      <c r="B376">
        <f t="shared" si="5"/>
        <v>20</v>
      </c>
    </row>
    <row r="377" spans="1:2" ht="15.75">
      <c r="A377" s="12">
        <v>2024</v>
      </c>
      <c r="B377">
        <f t="shared" si="5"/>
        <v>20</v>
      </c>
    </row>
    <row r="378" spans="1:2" ht="15.75">
      <c r="A378" s="8">
        <v>2024</v>
      </c>
      <c r="B378">
        <f t="shared" si="5"/>
        <v>20</v>
      </c>
    </row>
    <row r="379" spans="1:2" ht="15.75">
      <c r="A379" s="17">
        <v>2024</v>
      </c>
      <c r="B379">
        <f t="shared" si="5"/>
        <v>20</v>
      </c>
    </row>
    <row r="380" spans="1:2" ht="15.75">
      <c r="A380" s="15">
        <v>2024</v>
      </c>
      <c r="B380">
        <f t="shared" si="5"/>
        <v>20</v>
      </c>
    </row>
    <row r="381" spans="1:2" ht="15.75">
      <c r="A381" s="15">
        <v>2024</v>
      </c>
      <c r="B381">
        <f t="shared" si="5"/>
        <v>20</v>
      </c>
    </row>
    <row r="382" spans="1:2" ht="15.75">
      <c r="A382" s="15">
        <v>2024</v>
      </c>
      <c r="B382">
        <f t="shared" si="5"/>
        <v>20</v>
      </c>
    </row>
    <row r="383" spans="1:2" ht="15.75">
      <c r="A383" s="17">
        <v>2024</v>
      </c>
      <c r="B383">
        <f t="shared" si="5"/>
        <v>20</v>
      </c>
    </row>
    <row r="384" spans="1:2" ht="15.75">
      <c r="A384" s="15">
        <v>2024</v>
      </c>
      <c r="B384">
        <f t="shared" si="5"/>
        <v>20</v>
      </c>
    </row>
    <row r="385" spans="1:2" ht="15.75">
      <c r="A385" s="15">
        <v>2024</v>
      </c>
      <c r="B385">
        <f t="shared" si="5"/>
        <v>20</v>
      </c>
    </row>
    <row r="386" spans="1:2" ht="15.75">
      <c r="A386" s="15">
        <v>2024</v>
      </c>
      <c r="B386">
        <f t="shared" si="5"/>
        <v>20</v>
      </c>
    </row>
    <row r="387" spans="1:2" ht="15.75">
      <c r="A387" s="17">
        <v>2024</v>
      </c>
      <c r="B387">
        <f t="shared" ref="B387:B429" si="6">2026-A387+18</f>
        <v>20</v>
      </c>
    </row>
    <row r="388" spans="1:2" ht="15.75">
      <c r="A388" s="15">
        <v>2024</v>
      </c>
      <c r="B388">
        <f t="shared" si="6"/>
        <v>20</v>
      </c>
    </row>
    <row r="389" spans="1:2" ht="15.75">
      <c r="A389" s="17">
        <v>2024</v>
      </c>
      <c r="B389">
        <f t="shared" si="6"/>
        <v>20</v>
      </c>
    </row>
    <row r="390" spans="1:2" ht="15.75">
      <c r="A390" s="17">
        <v>2024</v>
      </c>
      <c r="B390">
        <f t="shared" si="6"/>
        <v>20</v>
      </c>
    </row>
    <row r="391" spans="1:2" ht="15.75">
      <c r="A391" s="15">
        <v>2024</v>
      </c>
      <c r="B391">
        <f t="shared" si="6"/>
        <v>20</v>
      </c>
    </row>
    <row r="392" spans="1:2" ht="15.75">
      <c r="A392" s="17">
        <v>2024</v>
      </c>
      <c r="B392">
        <f t="shared" si="6"/>
        <v>20</v>
      </c>
    </row>
    <row r="393" spans="1:2" ht="15.75">
      <c r="A393" s="15">
        <v>2024</v>
      </c>
      <c r="B393">
        <f t="shared" si="6"/>
        <v>20</v>
      </c>
    </row>
    <row r="394" spans="1:2" ht="15.75">
      <c r="A394" s="17">
        <v>2024</v>
      </c>
      <c r="B394">
        <f t="shared" si="6"/>
        <v>20</v>
      </c>
    </row>
    <row r="395" spans="1:2" ht="15.75">
      <c r="A395" s="15">
        <v>2024</v>
      </c>
      <c r="B395">
        <f t="shared" si="6"/>
        <v>20</v>
      </c>
    </row>
    <row r="396" spans="1:2" ht="15.75">
      <c r="A396" s="15">
        <v>2024</v>
      </c>
      <c r="B396">
        <f t="shared" si="6"/>
        <v>20</v>
      </c>
    </row>
    <row r="397" spans="1:2" ht="15.75">
      <c r="A397" s="19">
        <v>2024</v>
      </c>
      <c r="B397">
        <f t="shared" si="6"/>
        <v>20</v>
      </c>
    </row>
    <row r="398" spans="1:2" ht="15.75">
      <c r="A398" s="19">
        <v>2025</v>
      </c>
      <c r="B398">
        <f t="shared" si="6"/>
        <v>19</v>
      </c>
    </row>
    <row r="399" spans="1:2" ht="15.75">
      <c r="A399" s="19">
        <v>2025</v>
      </c>
      <c r="B399">
        <f t="shared" si="6"/>
        <v>19</v>
      </c>
    </row>
    <row r="400" spans="1:2" ht="15.75">
      <c r="A400" s="19">
        <v>2025</v>
      </c>
      <c r="B400">
        <f t="shared" si="6"/>
        <v>19</v>
      </c>
    </row>
    <row r="401" spans="1:2" ht="15.75">
      <c r="A401" s="19">
        <v>2025</v>
      </c>
      <c r="B401">
        <f t="shared" si="6"/>
        <v>19</v>
      </c>
    </row>
    <row r="402" spans="1:2" ht="15.75">
      <c r="A402" s="19">
        <v>2025</v>
      </c>
      <c r="B402">
        <f t="shared" si="6"/>
        <v>19</v>
      </c>
    </row>
    <row r="403" spans="1:2" ht="15.75">
      <c r="A403" s="19">
        <v>2025</v>
      </c>
      <c r="B403">
        <f t="shared" si="6"/>
        <v>19</v>
      </c>
    </row>
    <row r="404" spans="1:2" ht="15.75">
      <c r="A404" s="19">
        <v>2025</v>
      </c>
      <c r="B404">
        <f t="shared" si="6"/>
        <v>19</v>
      </c>
    </row>
    <row r="405" spans="1:2" ht="15.75">
      <c r="A405" s="19">
        <v>2025</v>
      </c>
      <c r="B405">
        <f t="shared" si="6"/>
        <v>19</v>
      </c>
    </row>
    <row r="406" spans="1:2" ht="15.75">
      <c r="A406" s="19">
        <v>2025</v>
      </c>
      <c r="B406">
        <f t="shared" si="6"/>
        <v>19</v>
      </c>
    </row>
    <row r="407" spans="1:2" ht="15.75">
      <c r="A407" s="19">
        <v>2025</v>
      </c>
      <c r="B407">
        <f t="shared" si="6"/>
        <v>19</v>
      </c>
    </row>
    <row r="408" spans="1:2" ht="15.75">
      <c r="A408" s="19">
        <v>2025</v>
      </c>
      <c r="B408">
        <f t="shared" si="6"/>
        <v>19</v>
      </c>
    </row>
    <row r="409" spans="1:2" ht="15.75">
      <c r="A409" s="19">
        <v>2025</v>
      </c>
      <c r="B409">
        <f t="shared" si="6"/>
        <v>19</v>
      </c>
    </row>
    <row r="410" spans="1:2" ht="15.75">
      <c r="A410" s="19">
        <v>2025</v>
      </c>
      <c r="B410">
        <f t="shared" si="6"/>
        <v>19</v>
      </c>
    </row>
    <row r="411" spans="1:2" ht="15.75">
      <c r="A411" s="19">
        <v>2025</v>
      </c>
      <c r="B411">
        <f t="shared" si="6"/>
        <v>19</v>
      </c>
    </row>
    <row r="412" spans="1:2" ht="15.75">
      <c r="A412" s="19">
        <v>2025</v>
      </c>
      <c r="B412">
        <f t="shared" si="6"/>
        <v>19</v>
      </c>
    </row>
    <row r="413" spans="1:2" ht="15.75">
      <c r="A413" s="19">
        <v>2025</v>
      </c>
      <c r="B413">
        <f t="shared" si="6"/>
        <v>19</v>
      </c>
    </row>
    <row r="414" spans="1:2" ht="15.75">
      <c r="A414" s="19">
        <v>2025</v>
      </c>
      <c r="B414">
        <f t="shared" si="6"/>
        <v>19</v>
      </c>
    </row>
    <row r="415" spans="1:2" ht="15.75">
      <c r="A415" s="19">
        <v>2025</v>
      </c>
      <c r="B415">
        <f t="shared" si="6"/>
        <v>19</v>
      </c>
    </row>
    <row r="416" spans="1:2" ht="15.75">
      <c r="A416" s="19">
        <v>2025</v>
      </c>
      <c r="B416">
        <f t="shared" si="6"/>
        <v>19</v>
      </c>
    </row>
    <row r="417" spans="1:2" ht="15.75">
      <c r="A417" s="19">
        <v>2025</v>
      </c>
      <c r="B417">
        <f t="shared" si="6"/>
        <v>19</v>
      </c>
    </row>
    <row r="418" spans="1:2" ht="15.75">
      <c r="A418" s="19">
        <v>2025</v>
      </c>
      <c r="B418">
        <f t="shared" si="6"/>
        <v>19</v>
      </c>
    </row>
    <row r="419" spans="1:2" ht="15.75">
      <c r="A419" s="19">
        <v>2025</v>
      </c>
      <c r="B419">
        <f t="shared" si="6"/>
        <v>19</v>
      </c>
    </row>
    <row r="420" spans="1:2" ht="15.75">
      <c r="A420" s="19">
        <v>2025</v>
      </c>
      <c r="B420">
        <f t="shared" si="6"/>
        <v>19</v>
      </c>
    </row>
    <row r="421" spans="1:2" ht="15.75">
      <c r="A421" s="19">
        <v>2025</v>
      </c>
      <c r="B421">
        <f t="shared" si="6"/>
        <v>19</v>
      </c>
    </row>
    <row r="422" spans="1:2" ht="15.75">
      <c r="A422" s="19">
        <v>2025</v>
      </c>
      <c r="B422">
        <f t="shared" si="6"/>
        <v>19</v>
      </c>
    </row>
    <row r="423" spans="1:2" ht="15.75">
      <c r="A423" s="19">
        <v>2025</v>
      </c>
      <c r="B423">
        <f t="shared" si="6"/>
        <v>19</v>
      </c>
    </row>
    <row r="424" spans="1:2" ht="15.75">
      <c r="A424" s="19">
        <v>2025</v>
      </c>
      <c r="B424">
        <f t="shared" si="6"/>
        <v>19</v>
      </c>
    </row>
    <row r="425" spans="1:2" ht="15.75">
      <c r="A425" s="19">
        <v>2025</v>
      </c>
      <c r="B425">
        <f t="shared" si="6"/>
        <v>19</v>
      </c>
    </row>
    <row r="426" spans="1:2" ht="15.75">
      <c r="A426" s="19">
        <v>2025</v>
      </c>
      <c r="B426">
        <f t="shared" si="6"/>
        <v>19</v>
      </c>
    </row>
    <row r="427" spans="1:2" ht="15.75">
      <c r="A427" s="19">
        <v>2025</v>
      </c>
      <c r="B427">
        <f t="shared" si="6"/>
        <v>19</v>
      </c>
    </row>
    <row r="428" spans="1:2" ht="15.75">
      <c r="A428" s="19">
        <v>2025</v>
      </c>
      <c r="B428">
        <f t="shared" si="6"/>
        <v>19</v>
      </c>
    </row>
    <row r="429" spans="1:2" ht="15.75">
      <c r="A429" s="19">
        <v>2025</v>
      </c>
      <c r="B429">
        <f t="shared" si="6"/>
        <v>19</v>
      </c>
    </row>
    <row r="430" spans="1:2">
      <c r="A430" t="s">
        <v>557</v>
      </c>
      <c r="B430">
        <f>AVERAGE(B2:B429)</f>
        <v>44.65654205607477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4B380-6DD7-4F86-B232-4959946AFBCA}">
  <dimension ref="A1:A23"/>
  <sheetViews>
    <sheetView workbookViewId="0">
      <selection activeCell="B1" sqref="B1"/>
    </sheetView>
  </sheetViews>
  <sheetFormatPr defaultRowHeight="15"/>
  <cols>
    <col min="1" max="1" width="43.21875" customWidth="1"/>
  </cols>
  <sheetData>
    <row r="1" spans="1:1" ht="21" customHeight="1">
      <c r="A1" s="6" t="s">
        <v>0</v>
      </c>
    </row>
    <row r="2" spans="1:1" ht="15.75">
      <c r="A2" s="2" t="s">
        <v>1</v>
      </c>
    </row>
    <row r="3" spans="1:1" ht="15.75">
      <c r="A3" s="1" t="s">
        <v>2</v>
      </c>
    </row>
    <row r="4" spans="1:1" ht="15.75">
      <c r="A4" s="1" t="s">
        <v>3</v>
      </c>
    </row>
    <row r="5" spans="1:1" ht="15.75">
      <c r="A5" s="1" t="s">
        <v>4</v>
      </c>
    </row>
    <row r="6" spans="1:1" ht="15.75">
      <c r="A6" s="1" t="s">
        <v>5</v>
      </c>
    </row>
    <row r="7" spans="1:1" ht="15.75">
      <c r="A7" s="1" t="s">
        <v>6</v>
      </c>
    </row>
    <row r="8" spans="1:1" ht="15.75">
      <c r="A8" s="1" t="s">
        <v>7</v>
      </c>
    </row>
    <row r="9" spans="1:1" ht="18.75" customHeight="1">
      <c r="A9" s="1" t="s">
        <v>8</v>
      </c>
    </row>
    <row r="10" spans="1:1" ht="27.75" customHeight="1">
      <c r="A10" s="1" t="s">
        <v>534</v>
      </c>
    </row>
    <row r="11" spans="1:1" ht="15.75">
      <c r="A11" s="1" t="s">
        <v>9</v>
      </c>
    </row>
    <row r="12" spans="1:1" ht="31.5">
      <c r="A12" s="1" t="s">
        <v>10</v>
      </c>
    </row>
    <row r="13" spans="1:1" ht="31.5">
      <c r="A13" s="1" t="s">
        <v>11</v>
      </c>
    </row>
    <row r="14" spans="1:1" ht="47.25">
      <c r="A14" s="1" t="s">
        <v>535</v>
      </c>
    </row>
    <row r="15" spans="1:1" ht="15.75">
      <c r="A15" s="1" t="s">
        <v>12</v>
      </c>
    </row>
    <row r="16" spans="1:1" ht="31.5">
      <c r="A16" s="1" t="s">
        <v>536</v>
      </c>
    </row>
    <row r="17" spans="1:1" ht="31.5">
      <c r="A17" s="1" t="s">
        <v>537</v>
      </c>
    </row>
    <row r="18" spans="1:1" ht="15.75">
      <c r="A18" s="1" t="s">
        <v>538</v>
      </c>
    </row>
    <row r="19" spans="1:1" ht="47.25">
      <c r="A19" s="1" t="s">
        <v>539</v>
      </c>
    </row>
    <row r="20" spans="1:1" ht="31.5">
      <c r="A20" s="1" t="s">
        <v>532</v>
      </c>
    </row>
    <row r="21" spans="1:1" ht="15.75">
      <c r="A21" s="1" t="s">
        <v>533</v>
      </c>
    </row>
    <row r="22" spans="1:1" ht="31.5">
      <c r="A22" s="1" t="s">
        <v>540</v>
      </c>
    </row>
    <row r="23" spans="1:1" ht="47.25">
      <c r="A23" s="1"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Baza de date BAC</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Arina Gogu</dc:creator>
  <cp:lastModifiedBy>stud</cp:lastModifiedBy>
  <dcterms:created xsi:type="dcterms:W3CDTF">2026-03-01T14:44:05Z</dcterms:created>
  <dcterms:modified xsi:type="dcterms:W3CDTF">2026-03-03T13:37:55Z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ac2e32d1ad5147a49b5d089fe4b026e2</vt:lpwstr>
  </property>
</Properties>
</file>